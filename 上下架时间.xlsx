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5b892acf531adfa2/Documents/"/>
    </mc:Choice>
  </mc:AlternateContent>
  <xr:revisionPtr revIDLastSave="40" documentId="8_{36FA2F76-E2D9-4A75-A7E7-441DCA64E94A}" xr6:coauthVersionLast="47" xr6:coauthVersionMax="47" xr10:uidLastSave="{777C35C0-0C0C-4DF7-B4D5-60C13B2395A2}"/>
  <bookViews>
    <workbookView xWindow="-110" yWindow="-110" windowWidth="19420" windowHeight="10300" activeTab="3" xr2:uid="{00000000-000D-0000-FFFF-FFFF00000000}"/>
  </bookViews>
  <sheets>
    <sheet name="Sheet1" sheetId="4" r:id="rId1"/>
    <sheet name="Sheet2" sheetId="5" r:id="rId2"/>
    <sheet name="Sheet4" sheetId="7" r:id="rId3"/>
    <sheet name="源数据" sheetId="1" r:id="rId4"/>
    <sheet name="Sheet3" sheetId="8" r:id="rId5"/>
    <sheet name="处理后的数据" sheetId="2" state="hidden" r:id="rId6"/>
    <sheet name="数据透视表" sheetId="3" state="hidden" r:id="rId7"/>
  </sheets>
  <definedNames>
    <definedName name="切片器_裙长">#N/A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6" i="8" l="1"/>
  <c r="F17" i="8"/>
  <c r="F18" i="8"/>
  <c r="F19" i="8"/>
  <c r="F20" i="8"/>
  <c r="F21" i="8"/>
  <c r="F22" i="8"/>
  <c r="F23" i="8"/>
  <c r="F24" i="8"/>
  <c r="F25" i="8"/>
  <c r="F26" i="8"/>
  <c r="F27" i="8"/>
  <c r="F28" i="8"/>
  <c r="F29" i="8"/>
  <c r="F30" i="8"/>
  <c r="F31" i="8"/>
  <c r="F32" i="8"/>
  <c r="F33" i="8"/>
  <c r="F34" i="8"/>
  <c r="E2" i="8"/>
  <c r="F2" i="8"/>
  <c r="E3" i="8"/>
  <c r="F3" i="8"/>
  <c r="E4" i="8"/>
  <c r="F4" i="8"/>
  <c r="E5" i="8"/>
  <c r="F5" i="8"/>
  <c r="E6" i="8"/>
  <c r="F6" i="8"/>
  <c r="E7" i="8"/>
  <c r="F7" i="8"/>
  <c r="E8" i="8"/>
  <c r="F8" i="8"/>
  <c r="E9" i="8"/>
  <c r="F9" i="8"/>
  <c r="E10" i="8"/>
  <c r="F10" i="8"/>
  <c r="V142" i="1"/>
  <c r="V141" i="1"/>
  <c r="V140" i="1"/>
  <c r="V139" i="1"/>
  <c r="V138" i="1"/>
  <c r="V135" i="1"/>
  <c r="V134" i="1"/>
  <c r="V133" i="1"/>
  <c r="V132" i="1"/>
  <c r="AJ131" i="1"/>
  <c r="AJ132" i="1"/>
  <c r="AJ133" i="1"/>
  <c r="AJ134" i="1"/>
  <c r="AJ135" i="1"/>
  <c r="AJ136" i="1"/>
  <c r="AJ137" i="1"/>
  <c r="AJ138" i="1"/>
  <c r="AJ139" i="1"/>
  <c r="AJ140" i="1"/>
  <c r="AJ141" i="1"/>
  <c r="AJ142" i="1"/>
  <c r="AJ143" i="1"/>
  <c r="AJ144" i="1"/>
  <c r="AJ145" i="1"/>
  <c r="AJ146" i="1"/>
  <c r="AJ147" i="1"/>
  <c r="AJ148" i="1"/>
  <c r="AJ130" i="1"/>
  <c r="S131" i="1"/>
  <c r="S137" i="1"/>
  <c r="S136" i="1"/>
  <c r="S134" i="1"/>
  <c r="B130" i="1"/>
  <c r="AO3" i="2"/>
  <c r="AO4" i="2"/>
  <c r="AO5" i="2"/>
  <c r="AO6" i="2"/>
  <c r="AO7" i="2"/>
  <c r="AO8" i="2"/>
  <c r="AO9" i="2"/>
  <c r="AO10" i="2"/>
  <c r="AO11" i="2"/>
  <c r="AO12" i="2"/>
  <c r="AO13" i="2"/>
  <c r="AO14" i="2"/>
  <c r="AO15" i="2"/>
  <c r="AO16" i="2"/>
  <c r="AO17" i="2"/>
  <c r="AO18" i="2"/>
  <c r="AO19" i="2"/>
  <c r="AO20" i="2"/>
  <c r="AO21" i="2"/>
  <c r="AO22" i="2"/>
  <c r="AO23" i="2"/>
  <c r="AO24" i="2"/>
  <c r="AO25" i="2"/>
  <c r="AO26" i="2"/>
  <c r="AO27" i="2"/>
  <c r="AO28" i="2"/>
  <c r="AO29" i="2"/>
  <c r="AO30" i="2"/>
  <c r="AO31" i="2"/>
  <c r="AO32" i="2"/>
  <c r="AO33" i="2"/>
  <c r="AO34" i="2"/>
  <c r="AO35" i="2"/>
  <c r="AO36" i="2"/>
  <c r="AO37" i="2"/>
  <c r="AO38" i="2"/>
  <c r="AO39" i="2"/>
  <c r="AO40" i="2"/>
  <c r="AO41" i="2"/>
  <c r="AO42" i="2"/>
  <c r="AO43" i="2"/>
  <c r="AO44" i="2"/>
  <c r="AO45" i="2"/>
  <c r="AO46" i="2"/>
  <c r="AO47" i="2"/>
  <c r="AO48" i="2"/>
  <c r="AO49" i="2"/>
  <c r="AO50" i="2"/>
  <c r="AO51" i="2"/>
  <c r="AO52" i="2"/>
  <c r="AO53" i="2"/>
  <c r="AO54" i="2"/>
  <c r="AO55" i="2"/>
  <c r="AO56" i="2"/>
  <c r="AO57" i="2"/>
  <c r="AO58" i="2"/>
  <c r="AO59" i="2"/>
  <c r="AO60" i="2"/>
  <c r="AO61" i="2"/>
  <c r="AO62" i="2"/>
  <c r="AO63" i="2"/>
  <c r="AO64" i="2"/>
  <c r="AO65" i="2"/>
  <c r="AO66" i="2"/>
  <c r="AO67" i="2"/>
  <c r="AO68" i="2"/>
  <c r="AO69" i="2"/>
  <c r="AO70" i="2"/>
  <c r="AO71" i="2"/>
  <c r="AO72" i="2"/>
  <c r="AO73" i="2"/>
  <c r="AO74" i="2"/>
  <c r="AO75" i="2"/>
  <c r="AO76" i="2"/>
  <c r="AO77" i="2"/>
  <c r="AO78" i="2"/>
  <c r="AO79" i="2"/>
  <c r="AO80" i="2"/>
  <c r="AO81" i="2"/>
  <c r="AO82" i="2"/>
  <c r="AO83" i="2"/>
  <c r="AO84" i="2"/>
  <c r="AO85" i="2"/>
  <c r="AO86" i="2"/>
  <c r="AO87" i="2"/>
  <c r="AO88" i="2"/>
  <c r="AO89" i="2"/>
  <c r="AO90" i="2"/>
  <c r="AO91" i="2"/>
  <c r="AO92" i="2"/>
  <c r="AO93" i="2"/>
  <c r="AO94" i="2"/>
  <c r="AO95" i="2"/>
  <c r="AO96" i="2"/>
  <c r="AO97" i="2"/>
  <c r="AO98" i="2"/>
  <c r="AO99" i="2"/>
  <c r="AO100" i="2"/>
  <c r="AO101" i="2"/>
  <c r="AO102" i="2"/>
  <c r="AO103" i="2"/>
  <c r="AO104" i="2"/>
  <c r="AO105" i="2"/>
  <c r="AO106" i="2"/>
  <c r="AO107" i="2"/>
  <c r="AO108" i="2"/>
  <c r="AO109" i="2"/>
  <c r="AO110" i="2"/>
  <c r="AO111" i="2"/>
  <c r="AO112" i="2"/>
  <c r="AO113" i="2"/>
  <c r="AO114" i="2"/>
  <c r="AO115" i="2"/>
  <c r="AO116" i="2"/>
  <c r="AO117" i="2"/>
  <c r="AO118" i="2"/>
  <c r="AO119" i="2"/>
  <c r="AO120" i="2"/>
  <c r="AO121" i="2"/>
  <c r="AO122" i="2"/>
  <c r="AO123" i="2"/>
  <c r="AO124" i="2"/>
  <c r="AO125" i="2"/>
  <c r="AO2" i="2"/>
</calcChain>
</file>

<file path=xl/sharedStrings.xml><?xml version="1.0" encoding="utf-8"?>
<sst xmlns="http://schemas.openxmlformats.org/spreadsheetml/2006/main" count="6571" uniqueCount="1474">
  <si>
    <t>数据下载时间：2015-08-23 18:09:46 功能：看店宝【kandianbao.com】 淘宝搜索排名查询 相关查询网址：http://so.kandianbao.com/连衣裙/ 查询条件：销量排序</t>
  </si>
  <si>
    <t>序号</t>
  </si>
  <si>
    <t>排名位置</t>
  </si>
  <si>
    <t>宝贝名称：看店宝【kandianbao.com】</t>
  </si>
  <si>
    <t>货号</t>
  </si>
  <si>
    <t>原价</t>
  </si>
  <si>
    <t>折扣率</t>
  </si>
  <si>
    <t>销售价</t>
  </si>
  <si>
    <t>手机价</t>
  </si>
  <si>
    <t>库存</t>
  </si>
  <si>
    <t>邮费</t>
  </si>
  <si>
    <t>30天收货</t>
  </si>
  <si>
    <t>收货占比</t>
  </si>
  <si>
    <t>30天销量</t>
  </si>
  <si>
    <t>销量占比</t>
  </si>
  <si>
    <t>30天销售额</t>
  </si>
  <si>
    <t>销售额占比</t>
  </si>
  <si>
    <t>总收藏量</t>
  </si>
  <si>
    <t>PC总浏览量</t>
  </si>
  <si>
    <t>收藏比</t>
  </si>
  <si>
    <t>总分享数</t>
  </si>
  <si>
    <t>总评价数</t>
  </si>
  <si>
    <t>宝贝促销</t>
  </si>
  <si>
    <t>店铺促销</t>
  </si>
  <si>
    <t>活动促销</t>
  </si>
  <si>
    <t>服务保证</t>
  </si>
  <si>
    <t>所在地</t>
  </si>
  <si>
    <t>店铺掌柜</t>
  </si>
  <si>
    <t>开店日期</t>
  </si>
  <si>
    <t>店铺信誉</t>
  </si>
  <si>
    <t>店铺dsr</t>
  </si>
  <si>
    <t>店铺收藏</t>
  </si>
  <si>
    <t>店铺类型</t>
  </si>
  <si>
    <t>好评率</t>
  </si>
  <si>
    <t>一级类目</t>
  </si>
  <si>
    <t>二级类目</t>
  </si>
  <si>
    <t>三级类目</t>
  </si>
  <si>
    <t>下架日期</t>
  </si>
  <si>
    <t>下架时间</t>
  </si>
  <si>
    <t>天数</t>
  </si>
  <si>
    <t>星期</t>
  </si>
  <si>
    <t>宝贝地址</t>
  </si>
  <si>
    <t>分析地址</t>
  </si>
  <si>
    <t>组合形式</t>
  </si>
  <si>
    <t>成分含量</t>
  </si>
  <si>
    <t>廓形</t>
  </si>
  <si>
    <t>领型</t>
  </si>
  <si>
    <t>衣门襟</t>
  </si>
  <si>
    <t>颜色分类</t>
  </si>
  <si>
    <t>通勤</t>
  </si>
  <si>
    <t>尺码</t>
  </si>
  <si>
    <t>图案</t>
  </si>
  <si>
    <t>裙长</t>
  </si>
  <si>
    <t>款式</t>
  </si>
  <si>
    <t>销售渠道类型</t>
  </si>
  <si>
    <t>面料</t>
  </si>
  <si>
    <t>流行元素/工艺</t>
  </si>
  <si>
    <t>裙型</t>
  </si>
  <si>
    <t>年份季节</t>
  </si>
  <si>
    <t>材质成分</t>
  </si>
  <si>
    <t>袖型</t>
  </si>
  <si>
    <t>品牌</t>
  </si>
  <si>
    <t>风格</t>
  </si>
  <si>
    <t>甜美</t>
  </si>
  <si>
    <t>腰型</t>
  </si>
  <si>
    <t>材质</t>
  </si>
  <si>
    <t>街头</t>
  </si>
  <si>
    <t>适用年龄</t>
  </si>
  <si>
    <t>袖长</t>
  </si>
  <si>
    <t>评价标签</t>
  </si>
  <si>
    <t>第 1 页 第 1 位</t>
  </si>
  <si>
    <t>2015夏季新款韩版通勤女装圆领短袖气质修身ol连衣裙女中裙淑女裙</t>
  </si>
  <si>
    <t>包邮</t>
  </si>
  <si>
    <t>8天退货，退货邮费买家承担|蚂蚁花呗|信用卡支付|集分宝|如实描述</t>
  </si>
  <si>
    <t>浙江杭州</t>
  </si>
  <si>
    <t>悠然1149</t>
  </si>
  <si>
    <t>2冠</t>
  </si>
  <si>
    <t>4.8; 4.8; 4.8</t>
  </si>
  <si>
    <t>淘宝</t>
  </si>
  <si>
    <t xml:space="preserve">女装/女士精品 </t>
  </si>
  <si>
    <t xml:space="preserve"> 连衣裙</t>
  </si>
  <si>
    <t>1天3时55分15秒</t>
  </si>
  <si>
    <t>一</t>
  </si>
  <si>
    <t>http://item.taobao.com/item.htm?id=520635131814</t>
  </si>
  <si>
    <t>http://item.kandianbao.com/520635131814/</t>
  </si>
  <si>
    <t>单件</t>
  </si>
  <si>
    <t>81%(含)-90%(含)</t>
  </si>
  <si>
    <t>H型</t>
  </si>
  <si>
    <t>圆领</t>
  </si>
  <si>
    <t>套头</t>
  </si>
  <si>
    <t>粉红色</t>
  </si>
  <si>
    <t>韩版</t>
  </si>
  <si>
    <t>S，M，L，XL，2XL</t>
  </si>
  <si>
    <t>纯色</t>
  </si>
  <si>
    <t>中裙</t>
  </si>
  <si>
    <t>蝴蝶结，抽褶，口袋，系带，拉链</t>
  </si>
  <si>
    <t>一步裙</t>
  </si>
  <si>
    <t>2015年夏季</t>
  </si>
  <si>
    <t>中腰</t>
  </si>
  <si>
    <t>麻</t>
  </si>
  <si>
    <t>短袖</t>
  </si>
  <si>
    <t xml:space="preserve">质量不错(20) ; 穿着漂亮(16) ; 做工不错(14) ; 板型很好(12) ; 服务好(11) ; 很舒适(11) ; </t>
  </si>
  <si>
    <t>第 1 页 第 2 位</t>
  </si>
  <si>
    <t>夏季连衣裙大码女装背心裙中长款包臀长裙内搭打底衫OL修身吊带裙</t>
  </si>
  <si>
    <t>6013-</t>
  </si>
  <si>
    <t>7天无理由|蚂蚁花呗|信用卡支付|集分宝|如实描述</t>
  </si>
  <si>
    <t>广东东莞</t>
  </si>
  <si>
    <t>物美价廉yy8</t>
  </si>
  <si>
    <t>1冠</t>
  </si>
  <si>
    <t>4.6; 4.6; 4.5</t>
  </si>
  <si>
    <t>4天21时10分15秒</t>
  </si>
  <si>
    <t>五</t>
  </si>
  <si>
    <t>http://item.taobao.com/item.htm?id=45418797934</t>
  </si>
  <si>
    <t>http://item.kandianbao.com/45418797934/</t>
  </si>
  <si>
    <t>31%(含)-50%(含)</t>
  </si>
  <si>
    <t>A型</t>
  </si>
  <si>
    <t>V领</t>
  </si>
  <si>
    <t>玫红.，蓝色比图偏深，西瓜红偏橙色，浅绿比图偏浅，白色，黑色，酒红色，黄色</t>
  </si>
  <si>
    <t>OL风格</t>
  </si>
  <si>
    <t>L码建议105-120斤，M码建议90-105斤，XXL建议130-140，XL码建议120-130，XXXL建议140-155，S码建议75-90斤，买2件优惠3元，买3件优惠5元</t>
  </si>
  <si>
    <t>中长裙</t>
  </si>
  <si>
    <t>其他/other</t>
  </si>
  <si>
    <t>针织</t>
  </si>
  <si>
    <t>连衣裙夏季中长款包臀女长裙大码背心裙内搭打底衫韩版修身吊带裙，印花</t>
  </si>
  <si>
    <t>公主裙</t>
  </si>
  <si>
    <t>涤纶</t>
  </si>
  <si>
    <t>25-29周岁</t>
  </si>
  <si>
    <t>无袖</t>
  </si>
  <si>
    <t xml:space="preserve">很舒适(170) ; 宝贝很赞(113) ; 穿着漂亮(101) ; 版型好看(85) ; 衣服很合身(67) ; 颜色很美(41) ; </t>
  </si>
  <si>
    <t>第 1 页 第 3 位</t>
  </si>
  <si>
    <t>2015夏天新款显瘦牛仔背带裙连衣裙女装夏季潮学生牛仔背心短裙子</t>
  </si>
  <si>
    <t>卖家承诺72小时内发货|8天退货，退货邮费买家承担|蚂蚁花呗|信用卡支付|集分宝|如实描述</t>
  </si>
  <si>
    <t>广东中山</t>
  </si>
  <si>
    <t>韩国专柜女装</t>
  </si>
  <si>
    <t>3天3时29分32秒</t>
  </si>
  <si>
    <t>三</t>
  </si>
  <si>
    <t>http://item.taobao.com/item.htm?id=45428232575</t>
  </si>
  <si>
    <t>http://item.kandianbao.com/45428232575/</t>
  </si>
  <si>
    <t>裙子尺寸偏大，深蓝色</t>
  </si>
  <si>
    <t>XXS，XS，S，M，L，XL</t>
  </si>
  <si>
    <t>短裙</t>
  </si>
  <si>
    <t>背带</t>
  </si>
  <si>
    <t>牛仔布</t>
  </si>
  <si>
    <t>背带，纽扣</t>
  </si>
  <si>
    <t>其他</t>
  </si>
  <si>
    <t>无</t>
  </si>
  <si>
    <t>学院</t>
  </si>
  <si>
    <t>宽松腰</t>
  </si>
  <si>
    <t>醋纤</t>
  </si>
  <si>
    <t>18-24周岁</t>
  </si>
  <si>
    <t xml:space="preserve">质量蛮好(2234) ; 版型漂亮(1276) ; 穿着效果好(1014) ; 大小合适(591) ; 衣服很舒服(541) ; 尺寸有偏差(221) ; </t>
  </si>
  <si>
    <t>第 1 页 第 4 位</t>
  </si>
  <si>
    <t>彩黛妃2015新款春夏季大码女装性感修身短袖镂空衣领连衣裙韩版潮</t>
  </si>
  <si>
    <t>C0070</t>
  </si>
  <si>
    <t>-</t>
  </si>
  <si>
    <t>江苏宿迁</t>
  </si>
  <si>
    <t>彩黛妃旗舰店</t>
  </si>
  <si>
    <t>1金冠</t>
  </si>
  <si>
    <t>4.6; 4.6; 4.8</t>
  </si>
  <si>
    <t>天猫</t>
  </si>
  <si>
    <t>5天16时6分37秒</t>
  </si>
  <si>
    <t>六</t>
  </si>
  <si>
    <t>http://item.taobao.com/item.htm?id=43944007169</t>
  </si>
  <si>
    <t>http://item.kandianbao.com/43944007169/</t>
  </si>
  <si>
    <t>95%以上</t>
  </si>
  <si>
    <t>浅玫红，薄荷绿，浅兰色，黑色</t>
  </si>
  <si>
    <t>S，M，L，XL，XXL</t>
  </si>
  <si>
    <t>褶皱</t>
  </si>
  <si>
    <t>A字裙</t>
  </si>
  <si>
    <t>聚酯纤维94.8% 聚氨酯弹性纤维(氨纶)5.2%</t>
  </si>
  <si>
    <t>彩黛妃</t>
  </si>
  <si>
    <t>高腰</t>
  </si>
  <si>
    <t xml:space="preserve">质量蛮好(7231) ; 版型好看(5113) ; 穿着美(3353) ; 衣服很合身(2627) ; 颜色很好(1909) ; 物流太慢(582) ; </t>
  </si>
  <si>
    <t>第 1 页 第 5 位</t>
  </si>
  <si>
    <t>凤凤服饰2015夏装新款连衣裙夏裙纯色韩版宽松无袖显瘦遮住小肚腩</t>
  </si>
  <si>
    <t>广东广州</t>
  </si>
  <si>
    <t>ff2012888</t>
  </si>
  <si>
    <t>4.0; 4.1; 4.0</t>
  </si>
  <si>
    <t>4天5时2分25秒</t>
  </si>
  <si>
    <t>四</t>
  </si>
  <si>
    <t>http://item.taobao.com/item.htm?id=520565996333</t>
  </si>
  <si>
    <t>http://item.kandianbao.com/520565996333/</t>
  </si>
  <si>
    <t>活动马上结束涨价，粉红色</t>
  </si>
  <si>
    <t>蝙蝠袖</t>
  </si>
  <si>
    <t>棉</t>
  </si>
  <si>
    <t>欧美</t>
  </si>
  <si>
    <t xml:space="preserve">很舒服(66) ; 质量蛮好(50) ; 版型漂亮(49) ; 划算(44) ; 穿着美(36) ; 衣服蛮薄(9) ; </t>
  </si>
  <si>
    <t>第 1 页 第 6 位</t>
  </si>
  <si>
    <t>2015夏装新款中老年女装印花连衣裙夏季大码修身中年妈妈装碎花裙</t>
  </si>
  <si>
    <t>卖家承诺72小时内发货|7天无理由|蚂蚁花呗|信用卡支付|集分宝|如实描述</t>
  </si>
  <si>
    <t>北京</t>
  </si>
  <si>
    <t>酷奇宝贝stb</t>
  </si>
  <si>
    <t>4冠</t>
  </si>
  <si>
    <t>4.7; 4.7; 4.7</t>
  </si>
  <si>
    <t>日</t>
  </si>
  <si>
    <t>http://item.taobao.com/item.htm?id=24393792120</t>
  </si>
  <si>
    <t>http://item.kandianbao.com/24393792120/</t>
  </si>
  <si>
    <t>20号色，15号色，19号色，12号色，11号色，5号色，26号色，25号色，23号色，27号色，22号色，28号色，1号色，3号色，2号色，8号色，21号色，13号色，16号色，17号色，18号色</t>
  </si>
  <si>
    <t>XL建议体重100-115，3XL建议体重125-135，2XL建议体重115-125，4XL建议体重135-145，L建议体重80-100，5XL建议体重145-160</t>
  </si>
  <si>
    <t>碎花</t>
  </si>
  <si>
    <t>3D，印花</t>
  </si>
  <si>
    <t>大摆型</t>
  </si>
  <si>
    <t>花瓣袖</t>
  </si>
  <si>
    <t>30-34周岁</t>
  </si>
  <si>
    <t xml:space="preserve">质量不错(2883) ; 衣衣很舒服(1857) ; 人群(1838) ; 版型漂亮(1484) ; 穿上好看(962) ; 码数不合(586) ; </t>
  </si>
  <si>
    <t>第 1 页 第 7 位</t>
  </si>
  <si>
    <t>韩国2015春夏季新款女装高腰两件套连衣裙 夏装蓬蓬a字裙短袖套装</t>
  </si>
  <si>
    <t>卖家承诺20小时内发货|7天无理由|集分宝|支付宝支付|如实描述</t>
  </si>
  <si>
    <t>人生朱1448200051</t>
  </si>
  <si>
    <t>3钻</t>
  </si>
  <si>
    <t>4.4; 4.4; 4.2</t>
  </si>
  <si>
    <t>http://item.taobao.com/item.htm?id=520347387757</t>
  </si>
  <si>
    <t>http://item.kandianbao.com/520347387757/</t>
  </si>
  <si>
    <t>两件套</t>
  </si>
  <si>
    <t>71%(含)-80%(含)</t>
  </si>
  <si>
    <t>单件上衣，单件裙子，上衣+裙子</t>
  </si>
  <si>
    <t>复古</t>
  </si>
  <si>
    <t>欧根纱</t>
  </si>
  <si>
    <t>拼接，蕾丝，印花</t>
  </si>
  <si>
    <t>常规</t>
  </si>
  <si>
    <t xml:space="preserve">衣服不错(37) ; 版型好(29) ; 很划算(19) ; 态度不错(17) ; 快递不错(16) ; 很舒服(12) ; </t>
  </si>
  <si>
    <t>第 1 页 第 8 位</t>
  </si>
  <si>
    <t>2015夏季新品女装 韩版可爱卡通米奇印花开叉中长款短袖T恤连衣裙</t>
  </si>
  <si>
    <t>韩衣馆shop</t>
  </si>
  <si>
    <t>3冠</t>
  </si>
  <si>
    <t>http://item.taobao.com/item.htm?id=520221451671</t>
  </si>
  <si>
    <t>http://item.kandianbao.com/520221451671/</t>
  </si>
  <si>
    <t>白色，黑色</t>
  </si>
  <si>
    <t>均码（优质正品），均码（普通起球），S（优质正品），M（优质正品），L（优质正品），XL（优质正品），XXL（优质正品），3XL（优质正品），4XL（优质正品），5XL（优质正品），6XL（优质正品），优质质量超好，质量问题包退，收藏送礼物，100%不起球不掉色，预售款28号出</t>
  </si>
  <si>
    <t>卡通动漫</t>
  </si>
  <si>
    <t>长裙</t>
  </si>
  <si>
    <t>拼接，印花</t>
  </si>
  <si>
    <t xml:space="preserve">衣服很舒服(464) ; 整体不错(414) ; 版型漂亮(157) ; 穿着效果好(156) ; 布料好(108) ; 大小合适(87) ; </t>
  </si>
  <si>
    <t>第 1 页 第 9 位</t>
  </si>
  <si>
    <t>2015夏装新款套装甜美两件套女装裙子 欧洲站夏季短裙雪纺连衣裙</t>
  </si>
  <si>
    <t>wanwalkerman</t>
  </si>
  <si>
    <t>5冠</t>
  </si>
  <si>
    <t>4.7; 4.7; 4.6</t>
  </si>
  <si>
    <t>http://item.taobao.com/item.htm?id=45756314177</t>
  </si>
  <si>
    <t>http://item.kandianbao.com/45756314177/</t>
  </si>
  <si>
    <t>拉链</t>
  </si>
  <si>
    <t>白色（一套），单件上衣，提示：马上涨价</t>
  </si>
  <si>
    <t>雪纺</t>
  </si>
  <si>
    <t>印花</t>
  </si>
  <si>
    <t>三号线女装</t>
  </si>
  <si>
    <t>公主</t>
  </si>
  <si>
    <t xml:space="preserve">板型很好(1890) ; 质量蛮好(1833) ; 穿着美(875) ; 很舒服(818) ; 码子很准(704) ; 质量不行(187) ; </t>
  </si>
  <si>
    <t>第 1 页 第 10 位</t>
  </si>
  <si>
    <t>2015夏装新款韩版连衣裙背心裙修身高腰条纹小香风打底裙蓬蓬裙潮</t>
  </si>
  <si>
    <t>美丽呼吸韩版女装</t>
  </si>
  <si>
    <t>2天3时51分4秒</t>
  </si>
  <si>
    <t>二</t>
  </si>
  <si>
    <t>http://item.taobao.com/item.htm?id=520487212484</t>
  </si>
  <si>
    <t>http://item.kandianbao.com/520487212484/</t>
  </si>
  <si>
    <t>商城优质版不起球，普通版偏短偏小，普通版轻微起球，请购买商城优质版</t>
  </si>
  <si>
    <t>XXL，提示：面料有弹性，S，M，L，XL</t>
  </si>
  <si>
    <t>条纹</t>
  </si>
  <si>
    <t>拼接</t>
  </si>
  <si>
    <t xml:space="preserve">质量好(64) ; 很便宜(53) ; 版型好(53) ; 衣衣很舒服(43) ; 穿上好看(33) ; 尺寸很准(24) ; </t>
  </si>
  <si>
    <t>第 1 页 第 11 位</t>
  </si>
  <si>
    <t>2015新雪纺连衣裙大码女装夏装淑女超长款裙子显瘦气质连衣长裙夏</t>
  </si>
  <si>
    <t>QDY15B4018</t>
  </si>
  <si>
    <t>迪悠旗舰店</t>
  </si>
  <si>
    <t>2天23时10分23秒</t>
  </si>
  <si>
    <t>http://item.taobao.com/item.htm?id=45728286943</t>
  </si>
  <si>
    <t>http://item.kandianbao.com/45728286943/</t>
  </si>
  <si>
    <t>酒红色，黑色</t>
  </si>
  <si>
    <t>淑女</t>
  </si>
  <si>
    <t>S，M，L，XL，2XL，3XL，4XL，5XL</t>
  </si>
  <si>
    <t>纯电商(只在线上销售)</t>
  </si>
  <si>
    <t>蝴蝶结，镂空，系带</t>
  </si>
  <si>
    <t>不规则裙</t>
  </si>
  <si>
    <t>聚酯纤维100%</t>
  </si>
  <si>
    <t>衬衫袖</t>
  </si>
  <si>
    <t>迪悠</t>
  </si>
  <si>
    <t xml:space="preserve">衣服不错(3789) ; 穿着效果好(3322) ; 式样好(2915) ; 衣服很舒服(1824) ; 颜色挺正(1338) ; 做工一般(269) ; </t>
  </si>
  <si>
    <t>第 1 页 第 12 位</t>
  </si>
  <si>
    <t>韩国代购2015夏季新款女装纯棉麻短袖衬衫裙中长款甜美连衣裙子</t>
  </si>
  <si>
    <t>WQ057</t>
  </si>
  <si>
    <t>普拉达8606</t>
  </si>
  <si>
    <t>2天2时50分28秒</t>
  </si>
  <si>
    <t>http://item.taobao.com/item.htm?id=520178820639</t>
  </si>
  <si>
    <t>http://item.kandianbao.com/520178820639/</t>
  </si>
  <si>
    <t>51%(含)-70%(含)</t>
  </si>
  <si>
    <t>POLO领</t>
  </si>
  <si>
    <t>单排扣</t>
  </si>
  <si>
    <t>即将涨价，浅蓝色</t>
  </si>
  <si>
    <t>S，M，L，XL</t>
  </si>
  <si>
    <t>werokee</t>
  </si>
  <si>
    <t xml:space="preserve">整体不错(214) ; 版式好(168) ; 穿着效果好(115) ; 衣服很舒服(72) ; 尺码很准(56) ; 颜色挺正(54) ; </t>
  </si>
  <si>
    <t>第 1 页 第 13 位</t>
  </si>
  <si>
    <t>2015夏装女装长裙子夏季中长款拼接修身大码优雅印花雪纺连衣裙女</t>
  </si>
  <si>
    <t>2YF001-1213</t>
  </si>
  <si>
    <t>满3件，享包邮，送3元优惠券</t>
  </si>
  <si>
    <t>漫兰飘香旗舰店</t>
  </si>
  <si>
    <t>4天21时46分25秒</t>
  </si>
  <si>
    <t>http://item.taobao.com/item.htm?id=45622403217</t>
  </si>
  <si>
    <t>http://item.kandianbao.com/45622403217/</t>
  </si>
  <si>
    <t>白色，粉花，黄花</t>
  </si>
  <si>
    <t>M，L，XL，2XL，3XL，4XL，5XL</t>
  </si>
  <si>
    <t>蝴蝶结，荷叶边，抽褶，褶皱，纱网，拉链，印花</t>
  </si>
  <si>
    <t>漫兰飘香</t>
  </si>
  <si>
    <t xml:space="preserve">整体不错(1854) ; 版型好看(1297) ; 很舒服(785) ; 穿着美(623) ; 衣服很合身(589) ; 不合身(296) ; </t>
  </si>
  <si>
    <t>第 1 页 第 14 位</t>
  </si>
  <si>
    <t>棉麻连衣裙女2015夏季韩版学生小清新短袖中裙女文艺范亚麻裙子潮</t>
  </si>
  <si>
    <t>10天退货，退货邮费买家承担|蚂蚁花呗|信用卡支付|集分宝|如实描述</t>
  </si>
  <si>
    <t>潮流女装62</t>
  </si>
  <si>
    <t>4.6; 4.7; 4.6</t>
  </si>
  <si>
    <t>1天2时50分15秒</t>
  </si>
  <si>
    <t>http://item.taobao.com/item.htm?id=520101954838</t>
  </si>
  <si>
    <t>http://item.kandianbao.com/520101954838/</t>
  </si>
  <si>
    <t>浅蓝色（优质版），粉红色(优质版），藏青色（优质版），粉红色，浅蓝色，藏青色</t>
  </si>
  <si>
    <t>格子</t>
  </si>
  <si>
    <t>织锦</t>
  </si>
  <si>
    <t>蝴蝶结，系带</t>
  </si>
  <si>
    <t>日系</t>
  </si>
  <si>
    <t xml:space="preserve">宝贝很赞(617) ; 外形好看(396) ; 很舒适(349) ; 穿着漂亮(279) ; 料子不错(177) ; 码数很准(161) ; </t>
  </si>
  <si>
    <t>第 1 页 第 15 位</t>
  </si>
  <si>
    <t>jto 新款印花雪纺连衣裙夏喇叭袖松紧收腰显瘦短裙a字裙女062325</t>
  </si>
  <si>
    <t>1.单笔订单满199元免运费(不包邮地区：内蒙古;黑龙江;甘肃;青海;新疆;西藏;台湾;香港;澳门;海外)，亲，快下手吧！</t>
  </si>
  <si>
    <t>卖家承诺10天内发货|7天无理由|蚂蚁花呗|信用卡支付|集分宝|如实描述</t>
  </si>
  <si>
    <t>zjforeverxxxx</t>
  </si>
  <si>
    <t>2金冠</t>
  </si>
  <si>
    <t>4.6; 4.7; 4.7</t>
  </si>
  <si>
    <t>http://item.taobao.com/item.htm?id=520200646708</t>
  </si>
  <si>
    <t>http://item.kandianbao.com/520200646708/</t>
  </si>
  <si>
    <t>花色</t>
  </si>
  <si>
    <t>喇叭袖</t>
  </si>
  <si>
    <t>松紧腰</t>
  </si>
  <si>
    <t>五分袖</t>
  </si>
  <si>
    <t xml:space="preserve">版型好(911) ; 宝贝很赞(688) ; 穿上好看(638) ; 衣衣很舒服(256) ; 尺寸很准(174) ; 发货服务差(76) ; </t>
  </si>
  <si>
    <t>第 1 页 第 16 位</t>
  </si>
  <si>
    <t>2015夏季新款小香风条纹胖MM背心连衣裙宽松大码蓬蓬裙高腰娃娃衫</t>
  </si>
  <si>
    <t>小小盼z</t>
  </si>
  <si>
    <t>4.4; 4.5; 4.4</t>
  </si>
  <si>
    <t>6天3时53分38秒</t>
  </si>
  <si>
    <t>http://item.taobao.com/item.htm?id=520448498247</t>
  </si>
  <si>
    <t>http://item.kandianbao.com/520448498247/</t>
  </si>
  <si>
    <t>图片色 优质布料，图片色 普通布料</t>
  </si>
  <si>
    <t>绸缎</t>
  </si>
  <si>
    <t>蝴蝶结，树脂固色，蕾丝</t>
  </si>
  <si>
    <t xml:space="preserve">整体不错(49) ; 版型好看(38) ; 衣服很舒服(29) ; 穿着效果好(25) ; 很划算(18) ; 快递不错(16) ; </t>
  </si>
  <si>
    <t>第 1 页 第 17 位</t>
  </si>
  <si>
    <t>2015韩系小清新套装连衣裙女春夏白领拼接两件套装裙吊带背心裙潮</t>
  </si>
  <si>
    <t>fashion326</t>
  </si>
  <si>
    <t>1.单笔订单满10元免运费(不包邮地区：台湾;香港;澳门;海外)，亲，快下手吧！|2.单笔订单满88元减4元；减后满88元，免运费(不包邮地区：台湾;香港;澳门;海外)，亲，快下手吧！|3.单笔订单满168元减8元；减后满168元，免运费(不包邮地区：台湾;香港;澳门;海外)，亲，快下手吧！|4.单笔订单满328元减16元；减后满328元，免运费(不包邮地区：台湾;香港;澳门;海外)，亲，快下手吧！|5.单笔订单满528元减20元；减后满528元，免运费(不包邮地区：台湾;香港;澳门;海外)，亲，快下手吧！</t>
  </si>
  <si>
    <t>fashion时尚依馆</t>
  </si>
  <si>
    <t>6天2时50分15秒</t>
  </si>
  <si>
    <t>http://item.taobao.com/item.htm?id=45449529737</t>
  </si>
  <si>
    <t>http://item.kandianbao.com/45449529737/</t>
  </si>
  <si>
    <t>单件罩衫，图片色 两件套，单条黑背心</t>
  </si>
  <si>
    <t>质量保证，限今特价，S，M，L，XL，2XL</t>
  </si>
  <si>
    <t>铅笔裙</t>
  </si>
  <si>
    <t>fashion</t>
  </si>
  <si>
    <t xml:space="preserve">质量蛮好(640) ; 很舒服(408) ; 穿着美(350) ; 式样好(330) ; 尺码很好(187) ; 质量不行(35) ; </t>
  </si>
  <si>
    <t>第 1 页 第 18 位</t>
  </si>
  <si>
    <t>2015夏季包臀莫代尔长裙连衣裙大码吊带修身打底背心裙长款长裙</t>
  </si>
  <si>
    <t>名款城</t>
  </si>
  <si>
    <t>4.8; 4.8; 4.7</t>
  </si>
  <si>
    <t>1天21时58分49秒</t>
  </si>
  <si>
    <t>http://item.taobao.com/item.htm?id=520135988843</t>
  </si>
  <si>
    <t>http://item.kandianbao.com/520135988843/</t>
  </si>
  <si>
    <t>黑色（大裙摆），深灰（大裙摆），浅灰（大裙摆），黑色（小裙摆款），深灰（小裙摆款），浅灰（小裙摆款）</t>
  </si>
  <si>
    <t>吊带</t>
  </si>
  <si>
    <t>莫代尔</t>
  </si>
  <si>
    <t xml:space="preserve">衣服很舒服(573) ; 质量蛮好(541) ; 穿着效果好(430) ; 版式好(207) ; 尺码很准(204) ; 衣服蛮薄(51) ; </t>
  </si>
  <si>
    <t>第 1 页 第 19 位</t>
  </si>
  <si>
    <t>两件套连衣裙欧洲站2015夏装新款套装雪纺裙子背心休闲短裙气质潮</t>
  </si>
  <si>
    <t>随心良品</t>
  </si>
  <si>
    <t>3天4时50分55秒</t>
  </si>
  <si>
    <t>http://item.taobao.com/item.htm?id=520523704111</t>
  </si>
  <si>
    <t>http://item.kandianbao.com/520523704111/</t>
  </si>
  <si>
    <t>一粒扣</t>
  </si>
  <si>
    <t>单件裙子，单件雪纺背心，上衣+短裙套装，提示：马上停产哦</t>
  </si>
  <si>
    <t>S【优质加内衬】，M【优质加内衬】，L【优质加内衬】</t>
  </si>
  <si>
    <t>抽象图案</t>
  </si>
  <si>
    <t>拼接，纽扣，拉链，印花</t>
  </si>
  <si>
    <t xml:space="preserve">衣服不错(37) ; 穿着效果好(17) ; 版型漂亮(16) ; 便宜(11) ; 服务态度好(9) ; 衣服很舒服(8) ; </t>
  </si>
  <si>
    <t>第 1 页 第 20 位</t>
  </si>
  <si>
    <t>欧洲站2015夏装新款真丝雪纺水墨印花连衣裙收腰显瘦女裙子欧货</t>
  </si>
  <si>
    <t>MY008</t>
  </si>
  <si>
    <t>卖家承诺30天内发货|7天无理由|蚂蚁花呗|信用卡支付|集分宝|如实描述</t>
  </si>
  <si>
    <t>zywj16叶伟林</t>
  </si>
  <si>
    <t>4.7; 4.8; 4.7</t>
  </si>
  <si>
    <t>3天2时10分15秒</t>
  </si>
  <si>
    <t>http://item.taobao.com/item.htm?id=520386051081</t>
  </si>
  <si>
    <t>http://item.kandianbao.com/520386051081/</t>
  </si>
  <si>
    <t>淡雅蓝</t>
  </si>
  <si>
    <t>荷叶边，抽褶，印花</t>
  </si>
  <si>
    <t>七分袖</t>
  </si>
  <si>
    <t xml:space="preserve">整体不错(42) ; 版型好(35) ; 尺寸很准(28) ; 很舒服(26) ; 穿着美(26) ; 颜色很好(17) ; </t>
  </si>
  <si>
    <t>第 1 页 第 21 位</t>
  </si>
  <si>
    <t>歌兔雪纺连衣裙夏季长裙2015夏装清仓特价修身显瘦中长款女装裙子</t>
  </si>
  <si>
    <t>GT15CQZ69</t>
  </si>
  <si>
    <t>歌兔服饰旗舰店</t>
  </si>
  <si>
    <t>1天2时51分20秒</t>
  </si>
  <si>
    <t>http://item.taobao.com/item.htm?id=44548937074</t>
  </si>
  <si>
    <t>http://item.kandianbao.com/44548937074/</t>
  </si>
  <si>
    <t>宝石蓝色，薄荷绿色，西瓜红，灰色，纯洁白色，嫩粉色，淡雅紫色，大红色，绿色，天空蓝色，淡黄色，魅力黑色</t>
  </si>
  <si>
    <t>S，M，L，XL，XXL，XS</t>
  </si>
  <si>
    <t>褶皱，拉链</t>
  </si>
  <si>
    <t>新型聚酯纤维100%</t>
  </si>
  <si>
    <t>歌兔</t>
  </si>
  <si>
    <t xml:space="preserve">宝贝很赞(10561) ; 版型漂亮(6058) ; 穿着漂亮(5188) ; 很舒适(3834) ; 款式好看(3687) ; 物流慢(372) ; </t>
  </si>
  <si>
    <t>第 1 页 第 22 位</t>
  </si>
  <si>
    <t>2015夏季新款气质大码中裙文艺复古棉麻两件套连衣裙亚麻套装裙女</t>
  </si>
  <si>
    <t>陈燕芬yyen</t>
  </si>
  <si>
    <t>5钻</t>
  </si>
  <si>
    <t>4.8; 4.7; 4.7</t>
  </si>
  <si>
    <t>3天16时50分25秒</t>
  </si>
  <si>
    <t>http://item.taobao.com/item.htm?id=520826757637</t>
  </si>
  <si>
    <t>http://item.kandianbao.com/520826757637/</t>
  </si>
  <si>
    <t>粉色【两件套】，灰色【两件套】，绿色【两件套】，粉色外套，灰色外套，绿色外套，背心单件</t>
  </si>
  <si>
    <t>S，M，L，XL，2XL，3XL</t>
  </si>
  <si>
    <t>荷叶边，不对称，纽扣</t>
  </si>
  <si>
    <t xml:space="preserve">很舒服(31) ; 外形好看(21) ; 衣服不错(16) ; 很划算(14) ; 穿着美(13) ; 码数很准(11) ; </t>
  </si>
  <si>
    <t>第 1 页 第 23 位</t>
  </si>
  <si>
    <t>2015韩版小清新性感露肩收腰碎花连衣裙夏女学生修身显瘦雪纺裙子</t>
  </si>
  <si>
    <t>http://item.taobao.com/item.htm?id=45781507725</t>
  </si>
  <si>
    <t>http://item.kandianbao.com/45781507725/</t>
  </si>
  <si>
    <t>白色 优质雪纺，黑色 优质雪纺，白色 普通布料，黑色 普通布料</t>
  </si>
  <si>
    <t>收藏送礼，S，M，L，XL，2XL</t>
  </si>
  <si>
    <t xml:space="preserve">版式好(733) ; 整体不错(682) ; 很舒服(472) ; 穿着美(408) ; 尺码很准(183) ; 物流太慢(86) ; </t>
  </si>
  <si>
    <t>第 1 页 第 24 位</t>
  </si>
  <si>
    <t>欧洲站2015新款夏季印花连衣裙欧根纱高腰短裙韩版背心裙女装包邮</t>
  </si>
  <si>
    <t>卖家承诺48小时内发货|7天无理由|蚂蚁花呗|信用卡支付|集分宝|如实描述</t>
  </si>
  <si>
    <t>童年梦之路</t>
  </si>
  <si>
    <t>5天3时52分16秒</t>
  </si>
  <si>
    <t>http://item.taobao.com/item.htm?id=520543428983</t>
  </si>
  <si>
    <t>http://item.kandianbao.com/520543428983/</t>
  </si>
  <si>
    <t>娃娃领</t>
  </si>
  <si>
    <t>【专属女神范】</t>
  </si>
  <si>
    <t>百褶裙</t>
  </si>
  <si>
    <t>田园</t>
  </si>
  <si>
    <t xml:space="preserve">外形好看(29) ; 穿着效果好(25) ; 质量蛮好(24) ; 衣服很舒服(20) ; 服务态度好(18) ; 做工很赞(17) ; </t>
  </si>
  <si>
    <t>第 1 页 第 25 位</t>
  </si>
  <si>
    <t>2015夏装大码女装超长两件套拼接款修身蕾丝中裙子印花雪纺连衣裙</t>
  </si>
  <si>
    <t>2YF001-6658</t>
  </si>
  <si>
    <t>2天2时30分15秒</t>
  </si>
  <si>
    <t>http://item.taobao.com/item.htm?id=520518136294</t>
  </si>
  <si>
    <t>http://item.kandianbao.com/520518136294/</t>
  </si>
  <si>
    <t>假两件</t>
  </si>
  <si>
    <t>粉色，浅绿色</t>
  </si>
  <si>
    <t>M，L，XL，XXL</t>
  </si>
  <si>
    <t>荷叶边，抽褶，褶皱，拼接，印花</t>
  </si>
  <si>
    <t>泡泡袖</t>
  </si>
  <si>
    <t xml:space="preserve">宝贝很赞(466) ; 版式好(343) ; 尺码很准(175) ; 穿着漂亮(155) ; 很舒适(148) ; 尺码不对(58) ; </t>
  </si>
  <si>
    <t>第 1 页 第 26 位</t>
  </si>
  <si>
    <t>彩黛妃2015春夏季新款女装性感气质短袖修身显瘦连衣裙韩版L0180</t>
  </si>
  <si>
    <t>L0180</t>
  </si>
  <si>
    <t>3天15时54分29秒</t>
  </si>
  <si>
    <t>http://item.taobao.com/item.htm?id=45315416266</t>
  </si>
  <si>
    <t>http://item.kandianbao.com/45315416266/</t>
  </si>
  <si>
    <t>十字格</t>
  </si>
  <si>
    <t xml:space="preserve">宝贝很赞(1715) ; 版型好(1021) ; 穿着漂亮(966) ; 尺寸很准(729) ; 很舒适(574) ; 尺码不对(253) ; </t>
  </si>
  <si>
    <t>第 1 页 第 27 位</t>
  </si>
  <si>
    <t>2015夏季新款韩版女装休闲套装连衣裙裤短袖t恤雪纺衫短裙两件套</t>
  </si>
  <si>
    <t>雅丹娜韩版女装</t>
  </si>
  <si>
    <t>4.5; 4.5; 4.4</t>
  </si>
  <si>
    <t>http://item.taobao.com/item.htm?id=520090687820</t>
  </si>
  <si>
    <t>http://item.kandianbao.com/520090687820/</t>
  </si>
  <si>
    <t>白色短袖上衣，黑色短袖上衣，红色短袖上衣，黑色短裙，红色短裙，短袖白衣+黑裙，短袖白衣+红裙，短袖黑衣+黑裙，短袖黑衣+红裙，短袖红衣+黑裙，短袖红衣+红裙，白色长袖上衣，红色长袖上衣，长袖红衣+黑裙，长袖白衣+黑裙，长袖白衣+红裙，长袖红衣+红裙</t>
  </si>
  <si>
    <t>蝴蝶结，荷叶边，抽褶，拼接，纽扣</t>
  </si>
  <si>
    <t xml:space="preserve">质量好(368) ; 外形好看(297) ; 穿上好看(131) ; 衣衣很舒服(130) ; 码数很准(100) ; 款式蛮好(71) ; </t>
  </si>
  <si>
    <t>第 1 页 第 28 位</t>
  </si>
  <si>
    <t>1嫣洛-dl04新款2015夏装韩版女装圆领时髦女郎印花收腰连衣裙F-29</t>
  </si>
  <si>
    <t>7天无理由|集分宝|支付宝支付|如实描述</t>
  </si>
  <si>
    <t>日韩女装专卖</t>
  </si>
  <si>
    <t>4金冠</t>
  </si>
  <si>
    <t>2天15时53分35秒</t>
  </si>
  <si>
    <t>http://item.taobao.com/item.htm?id=520232454502</t>
  </si>
  <si>
    <t>http://item.kandianbao.com/520232454502/</t>
  </si>
  <si>
    <t>30%及以下</t>
  </si>
  <si>
    <t>米白色，蓝色</t>
  </si>
  <si>
    <t>人物</t>
  </si>
  <si>
    <t>系带，印花</t>
  </si>
  <si>
    <t xml:space="preserve">版型漂亮(1343) ; 宝贝很赞(1252) ; 很舒适(1106) ; 穿着漂亮(894) ; 大小合适(650) ; 面料一般(163) ; </t>
  </si>
  <si>
    <t>第 1 页 第 29 位</t>
  </si>
  <si>
    <t>2015夏季韩国碎花打底吊带裙女装修身背带短裙雪纺收腰显瘦连衣裙</t>
  </si>
  <si>
    <t>小晗子家</t>
  </si>
  <si>
    <t>5天21时0分15秒</t>
  </si>
  <si>
    <t>http://item.taobao.com/item.htm?id=520063878818</t>
  </si>
  <si>
    <t>http://item.kandianbao.com/520063878818/</t>
  </si>
  <si>
    <t>浅黄底花 好质量，黑底花 好质量</t>
  </si>
  <si>
    <t>M码 质量保证，L码 质量保证，XL码 质量保证，XL码 普通质量</t>
  </si>
  <si>
    <t>褶皱，拼接</t>
  </si>
  <si>
    <t xml:space="preserve">质量好(140) ; 很舒适(108) ; 版型好(94) ; 穿着漂亮(85) ; 尺寸很准(52) ; 没有色差(34) ; </t>
  </si>
  <si>
    <t>第 1 页 第 30 位</t>
  </si>
  <si>
    <t>中年妈妈装中老年连衣裙35-40-45-50岁大码妇女装短袖花裙子夏装</t>
  </si>
  <si>
    <t>945xujie945</t>
  </si>
  <si>
    <t>http://item.taobao.com/item.htm?id=38096663728</t>
  </si>
  <si>
    <t>http://item.kandianbao.com/38096663728/</t>
  </si>
  <si>
    <t>03色，05色，08色，09色，10色，11色，12色，13色，15色，16色，18色，25色，29色，26色，19色，27色，28色，21色，20色，22色，23色，17色藏蓝底，宝蓝色，深紫色</t>
  </si>
  <si>
    <t>民族风</t>
  </si>
  <si>
    <t>衣服偏小点，拿不准参考尺码表，L，XL，2XL，3XL，4XL</t>
  </si>
  <si>
    <t>康之轩</t>
  </si>
  <si>
    <t>40-49周岁</t>
  </si>
  <si>
    <t xml:space="preserve">宝贝很赞(1543) ; 衣衣很舒服(1438) ; 外形好看(1006) ; 人群(991) ; 穿上好看(672) ; 物流慢(117) ; </t>
  </si>
  <si>
    <t>第 1 页 第 31 位</t>
  </si>
  <si>
    <t>2015夏季新款修身背心裙 欧美竖条纹显瘦无袖连衣裙V领蓬蓬连衣裙</t>
  </si>
  <si>
    <t>潮_流范儿</t>
  </si>
  <si>
    <t>http://item.taobao.com/item.htm?id=520589940228</t>
  </si>
  <si>
    <t>http://item.kandianbao.com/520589940228/</t>
  </si>
  <si>
    <t>图色【优质面料】，【普通粗糙版】</t>
  </si>
  <si>
    <t xml:space="preserve">版型好(95) ; 质量不错(87) ; 穿上好看(85) ; 划算(68) ; 衣衣很舒服(67) ; 料子好(36) ; </t>
  </si>
  <si>
    <t>第 1 页 第 32 位</t>
  </si>
  <si>
    <t>2015秋季新款女装大码印花裙子中长款长袖女士t恤时尚连衣裙女秋</t>
  </si>
  <si>
    <t>FXYL2313</t>
  </si>
  <si>
    <t>famcheyo法香郁旗舰店</t>
  </si>
  <si>
    <t>2天46分45秒</t>
  </si>
  <si>
    <t>http://item.taobao.com/item.htm?id=520521452563</t>
  </si>
  <si>
    <t>http://item.kandianbao.com/520521452563/</t>
  </si>
  <si>
    <t>黑色，白色，灰色</t>
  </si>
  <si>
    <t>字母</t>
  </si>
  <si>
    <t>蝴蝶结，荷叶边，铆钉，植绒，流苏，破洞，镂空，抽褶，肩章，亮丝，镶钻，露背，油漆喷溅，手工磨破，贴布，绣花，链条，褶皱，木耳，勾花镂空，口袋，系带，拼接，螺纹，扎花，立体装饰，不对称，绑带，扎染，钉珠，波浪，做旧，亮片，背带，纽扣，纱网，拉链，乱针修补，锈斑处理，树脂固色，蕾丝，燕尾，3D，印花</t>
  </si>
  <si>
    <t>新型聚酯纤维65% 其他35%</t>
  </si>
  <si>
    <t>FAMCHEYO/法·香·郁</t>
  </si>
  <si>
    <t>长袖</t>
  </si>
  <si>
    <t xml:space="preserve">衣服不错(131) ; 衣服很舒服(122) ; 布料好(82) ; 板型很好(44) ; 码子很准(38) ; 穿着效果好(26) ; </t>
  </si>
  <si>
    <t>第 1 页 第 33 位</t>
  </si>
  <si>
    <t>韩国代购2015夏装新款无袖公主连衣裙女宽松大码蓬蓬裙高腰娃娃衫</t>
  </si>
  <si>
    <t>魅影mylove</t>
  </si>
  <si>
    <t>4天20时3分15秒</t>
  </si>
  <si>
    <t>http://item.taobao.com/item.htm?id=520425699980</t>
  </si>
  <si>
    <t>http://item.kandianbao.com/520425699980/</t>
  </si>
  <si>
    <t>白色，深蓝色</t>
  </si>
  <si>
    <t>抽褶，褶皱，系带</t>
  </si>
  <si>
    <t xml:space="preserve">质量好(108) ; 衣衣很舒服(78) ; 外形好看(60) ; 穿上好看(50) ; 款式蛮好(47) ; 做工好(46) ; </t>
  </si>
  <si>
    <t>第 1 页 第 34 位</t>
  </si>
  <si>
    <t>2015韩版大码甜美碎花修身显瘦中裙夏中长款中袖印花雪纺连衣裙秋</t>
  </si>
  <si>
    <t>卖家承诺48小时内发货|8天退货，退货邮费卖家承担|蚂蚁花呗|信用卡支付|集分宝|如实描述</t>
  </si>
  <si>
    <t>亚洲电商shopping平台</t>
  </si>
  <si>
    <t>5天1时50分15秒</t>
  </si>
  <si>
    <t>http://item.taobao.com/item.htm?id=520563537761</t>
  </si>
  <si>
    <t>http://item.kandianbao.com/520563537761/</t>
  </si>
  <si>
    <t>绿色原图小花，黄色原图小花，粉色原图小花，收藏送运费险，收藏送淘金币</t>
  </si>
  <si>
    <t>S【优质原版】，M【优质原版】，L【优质原版】，XL【优质原版】，2XL【优质原版】，3XL【优质原版】，S【普通面料】，M【普通面料】，L【普通面料】，XL【普通面料】，2XL【普通面料】，3XL【普通面料】</t>
  </si>
  <si>
    <t>蝴蝶结，木耳，印花</t>
  </si>
  <si>
    <t>时尚新版女装</t>
  </si>
  <si>
    <t xml:space="preserve">质量蛮好(53) ; 版型好(47) ; 很舒服(34) ; 便宜(29) ; 尺寸很准(22) ; 穿着美(19) ; </t>
  </si>
  <si>
    <t>第 1 页 第 35 位</t>
  </si>
  <si>
    <t>欧洲站2015夏季女装印花连衣裙夏中裙时尚显瘦大码胖mm雪纺裙子</t>
  </si>
  <si>
    <t>卖家承诺24小时内发货|7天无理由|集分宝|支付宝支付|如实描述</t>
  </si>
  <si>
    <t>幸福是会重生的</t>
  </si>
  <si>
    <t>6天3时10分55秒</t>
  </si>
  <si>
    <t>http://item.taobao.com/item.htm?id=520661672994</t>
  </si>
  <si>
    <t>http://item.kandianbao.com/520661672994/</t>
  </si>
  <si>
    <t>黑色</t>
  </si>
  <si>
    <t>抽褶，拼接，纽扣，蕾丝，印花</t>
  </si>
  <si>
    <t>第 1 页 第 36 位</t>
  </si>
  <si>
    <t>2015夏装新款显瘦牛仔连衣裙背带裙女夏季潮学生牛仔吊带背心短裙</t>
  </si>
  <si>
    <t>卖家承诺24小时内发货|8天退货，退货邮费买家承担|蚂蚁花呗|信用卡支付|集分宝|如实描述</t>
  </si>
  <si>
    <t>限量女装批发</t>
  </si>
  <si>
    <t>http://item.taobao.com/item.htm?id=520591170917</t>
  </si>
  <si>
    <t>http://item.kandianbao.com/520591170917/</t>
  </si>
  <si>
    <t>深蓝色</t>
  </si>
  <si>
    <t>口袋，背带，纽扣</t>
  </si>
  <si>
    <t xml:space="preserve">质量蛮好(138) ; 很舒服(44) ; 穿着美(38) ; 款式很潮(34) ; 衣服很合身(31) ; 版型好看(30) ; </t>
  </si>
  <si>
    <t>第 1 页 第 37 位</t>
  </si>
  <si>
    <t>2015性感荷叶边露肩雪纺连衣裙夏女A字裙短裙宽松显瘦韩国QZ106</t>
  </si>
  <si>
    <t>QZ106</t>
  </si>
  <si>
    <t>卖家承诺12天内发货|7天无理由|蚂蚁花呗|信用卡支付|集分宝|如实描述</t>
  </si>
  <si>
    <t>女人顶顶大</t>
  </si>
  <si>
    <t>1天15时50分15秒</t>
  </si>
  <si>
    <t>http://item.taobao.com/item.htm?id=520340311664</t>
  </si>
  <si>
    <t>http://item.kandianbao.com/520340311664/</t>
  </si>
  <si>
    <t>白色，粉红色，蓝色</t>
  </si>
  <si>
    <t>S，M</t>
  </si>
  <si>
    <t>荷叶边，镂空</t>
  </si>
  <si>
    <t>荷叶边裙</t>
  </si>
  <si>
    <t>荷叶袖</t>
  </si>
  <si>
    <t xml:space="preserve">版型漂亮(97) ; 质量好(84) ; 穿上好看(36) ; 衣衣很舒服(30) ; 色彩很好(29) ; 和描述一致(19) ; </t>
  </si>
  <si>
    <t>第 1 页 第 38 位</t>
  </si>
  <si>
    <t>韩国代购2015夏装新款女装明星同款修身A字裙中裙红色连衣裙夏季</t>
  </si>
  <si>
    <t>卖家承诺24小时内发货|7天无理由|蚂蚁花呗|集分宝|支付宝支付|如实描述</t>
  </si>
  <si>
    <t>hao87882894</t>
  </si>
  <si>
    <t>5天3时10分15秒</t>
  </si>
  <si>
    <t>http://item.taobao.com/item.htm?id=45355935820</t>
  </si>
  <si>
    <t>http://item.kandianbao.com/45355935820/</t>
  </si>
  <si>
    <t>白色，红色</t>
  </si>
  <si>
    <t>S【优质面料】，M【优质面料】，L【优质面料】，XL【优质面料】，S【普通面料】，M【普通面料】，L【普通面料】，XL【普通面料】</t>
  </si>
  <si>
    <t>荷叶边</t>
  </si>
  <si>
    <t xml:space="preserve">版型好看(1137) ; 宝贝很赞(996) ; 穿上好看(882) ; 色彩很好(418) ; 衣衣很舒服(386) ; 颜色不行(222) ; </t>
  </si>
  <si>
    <t>第 1 页 第 39 位</t>
  </si>
  <si>
    <t>2015夏季新款牛奶丝中老年连衣裙中长款波西米亚复古包臀妈妈LYQ</t>
  </si>
  <si>
    <t>清品幽罱</t>
  </si>
  <si>
    <t>1天4时0分13秒</t>
  </si>
  <si>
    <t>http://item.taobao.com/item.htm?id=44161806562</t>
  </si>
  <si>
    <t>http://item.kandianbao.com/44161806562/</t>
  </si>
  <si>
    <t>15号色，19号色，10号色，6号色，26号色，25号色，23号色，27号色，22号色，28号色，1号色，3号色，2号色，7号色，21号色，16号色，17号色，18号色，32号色，29号色，30号色，33号色，35号色，40号色，米白色，玫红色，粉红色</t>
  </si>
  <si>
    <t>3X[130-145斤]滕，XL[105-120斤]藤，XXL[115-130斤]藤，L[90-105斤]藤，4X[140-160斤]藤，默认圆通快递，增加2个新花色，活动亏本销售，质量保证，采用牛奶丝面料，以图片为准</t>
  </si>
  <si>
    <t>口袋，拼接，印花</t>
  </si>
  <si>
    <t>波西米亚</t>
  </si>
  <si>
    <t xml:space="preserve">宝贝很赞(233) ; 很舒适(192) ; 版型好看(127) ; 穿着漂亮(97) ; 衣服很合身(96) ; 人群(79) ; </t>
  </si>
  <si>
    <t>第 1 页 第 40 位</t>
  </si>
  <si>
    <t>棉麻连衣裙女夏季2015夏装女装新款韩版潮中长款修身显瘦中裙裙子</t>
  </si>
  <si>
    <t>卖家承诺48小时内发货|7天无理由|集分宝|支付宝支付|如实描述</t>
  </si>
  <si>
    <t>清潭洞艾丽丝</t>
  </si>
  <si>
    <t>1天3时54分15秒</t>
  </si>
  <si>
    <t>http://item.taobao.com/item.htm?id=520492857781</t>
  </si>
  <si>
    <t>http://item.kandianbao.com/520492857781/</t>
  </si>
  <si>
    <t>91%(含)-95%(含)</t>
  </si>
  <si>
    <t>桔红色，粉红色，红色，绿色</t>
  </si>
  <si>
    <t>收藏宝贝送小礼物，M，L，XL，2XL</t>
  </si>
  <si>
    <t>抽褶，褶皱，系带，纽扣</t>
  </si>
  <si>
    <t>第 1 页 第 41 位</t>
  </si>
  <si>
    <t>夏季新款海边度假雪纺沙滩裙波西米亚长裙碎花印花仙女吊带连衣裙</t>
  </si>
  <si>
    <t>艾米斯金</t>
  </si>
  <si>
    <t>3天3时5分22秒</t>
  </si>
  <si>
    <t>http://item.taobao.com/item.htm?id=520023042411</t>
  </si>
  <si>
    <t>http://item.kandianbao.com/520023042411/</t>
  </si>
  <si>
    <t>方领</t>
  </si>
  <si>
    <t>碎花款杏色，碎花款黑色，条纹款白色，条纹款蓝色，条纹款黑色</t>
  </si>
  <si>
    <t>S 80-98斤，M 98-108斤，L 108-120斤，XL 120-130斤，XXL 130-140斤</t>
  </si>
  <si>
    <t>蝴蝶结，印花</t>
  </si>
  <si>
    <t xml:space="preserve">版型漂亮(1220) ; 整体不错(1141) ; 穿着效果好(488) ; 衣服很舒服(479) ; 大小合适(253) ; 质量不行(128) ; </t>
  </si>
  <si>
    <t>第 1 页 第 42 位</t>
  </si>
  <si>
    <t>2015夏季韩版收腰显瘦印花雪纺露肩连衣裙子吊带一字领大摆中长裙</t>
  </si>
  <si>
    <t>时尚靓衣吧11</t>
  </si>
  <si>
    <t>6天19时57分14秒</t>
  </si>
  <si>
    <t>http://item.taobao.com/item.htm?id=520082649211</t>
  </si>
  <si>
    <t>http://item.kandianbao.com/520082649211/</t>
  </si>
  <si>
    <t>一字领</t>
  </si>
  <si>
    <t>米白色，藏青色</t>
  </si>
  <si>
    <t>抽褶，褶皱，印花</t>
  </si>
  <si>
    <t>灯笼袖</t>
  </si>
  <si>
    <t xml:space="preserve">版型好看(561) ; 衣服不错(555) ; 穿着效果好(463) ; 衣服很舒服(327) ; 衣服很合身(213) ; 布料好(167) ; </t>
  </si>
  <si>
    <t>第 1 页 第 43 位</t>
  </si>
  <si>
    <t>夏天新款女装复古蝴蝶印花修身连衣裙礼服无袖背心打底a字蓬蓬裙</t>
  </si>
  <si>
    <t>15天退货，退货邮费卖家承担|蚂蚁花呗|信用卡支付|集分宝|如实描述</t>
  </si>
  <si>
    <t>言而必有信88</t>
  </si>
  <si>
    <t>http://item.taobao.com/item.htm?id=520217571580</t>
  </si>
  <si>
    <t>http://item.kandianbao.com/520217571580/</t>
  </si>
  <si>
    <t>小丑人白色，蝴蝶白，梦幻王国，欧洲印象，蓝花朵，冰凌花，彩色城堡，玫瑰吉它，可爱鹦鹉，牡丹花，太阳花，中国墨竹，红蝴蝶，蓝蝴蝶，威尼斯，灰蝴蝶，乳白色，白色，灰色，黑色，玫红色，粉红色，杏色，金色，黄色，绿色，蓝色</t>
  </si>
  <si>
    <t>褶皱，拉链，3D，印花</t>
  </si>
  <si>
    <t xml:space="preserve">板型很好(221) ; 宝贝很赞(213) ; 穿上好看(101) ; 码子很准(85) ; 人群(38) ; 料子好(34) ; </t>
  </si>
  <si>
    <t>第 1 页 第 44 位</t>
  </si>
  <si>
    <t>长裙夏季连衣裙韩国修身碎花大码显瘦雪纺无袖波西米亚印花沙滩裙</t>
  </si>
  <si>
    <t>卖家承诺48小时内发货|不支持七天无理由|集分宝|支付宝支付|如实描述</t>
  </si>
  <si>
    <t>hdh红红</t>
  </si>
  <si>
    <t>4钻</t>
  </si>
  <si>
    <t>4天17时37分28秒</t>
  </si>
  <si>
    <t>http://item.taobao.com/item.htm?id=520049263453</t>
  </si>
  <si>
    <t>http://item.kandianbao.com/520049263453/</t>
  </si>
  <si>
    <t>杏色碎花，小清新花，红祥云，蓝祥云，蓝蝴蝶，其它颜色，粉蝴蝶，灰色，黄色，绿色，深蓝色，蓝色，花色</t>
  </si>
  <si>
    <t>均码</t>
  </si>
  <si>
    <t>拼接，背带，印花</t>
  </si>
  <si>
    <t xml:space="preserve">衣服不错(26) ; 版型好看(20) ; 划算(19) ; 穿着美(11) ; 很舒服(9) ; 快递不错(9) ; </t>
  </si>
  <si>
    <t>第 1 页 第 45 位</t>
  </si>
  <si>
    <t>2015打底夏季长裙显瘦吊带长裙莫代尔长裙黑白条纹无袖背心连衣裙</t>
  </si>
  <si>
    <t>1.单笔订单满65元减3元；亲，快下手吧！|2.单笔订单满70元减5元；减后满70元，送礼物，亲，快下手吧！</t>
  </si>
  <si>
    <t>山东青岛</t>
  </si>
  <si>
    <t>奶油喝奶</t>
  </si>
  <si>
    <t>4天20时19分21秒</t>
  </si>
  <si>
    <t>http://item.taobao.com/item.htm?id=39754010062</t>
  </si>
  <si>
    <t>http://item.kandianbao.com/39754010062/</t>
  </si>
  <si>
    <t>黑白条纹，灰色，黑色，玫红色，酒红色，黄色，荧光绿，宝蓝色</t>
  </si>
  <si>
    <t>均码 90-120斤，加大 120-160斤</t>
  </si>
  <si>
    <t xml:space="preserve">很舒适(1419) ; 宝贝很赞(1126) ; 穿着漂亮(517) ; 外形好看(392) ; 码数很准(275) ; 颜色不行(92) ; </t>
  </si>
  <si>
    <t>第 1 页 第 46 位</t>
  </si>
  <si>
    <t>2015夏季新款欧洲站时尚名媛柔软欧根纱印花无袖大码连衣裙夏中裙</t>
  </si>
  <si>
    <t>天赐-9898</t>
  </si>
  <si>
    <t>tb7973039</t>
  </si>
  <si>
    <t>4.5; 4.6; 4.5</t>
  </si>
  <si>
    <t>6天3时14分34秒</t>
  </si>
  <si>
    <t>http://item.taobao.com/item.htm?id=520014511001</t>
  </si>
  <si>
    <t>http://item.kandianbao.com/520014511001/</t>
  </si>
  <si>
    <t>模特色</t>
  </si>
  <si>
    <t>送运费险，免费试穿，S，M，L，XL，2XL</t>
  </si>
  <si>
    <t xml:space="preserve">质量蛮好(110) ; 版型好看(85) ; 很舒服(61) ; 穿着美(58) ; 款式很潮(51) ; 衣服很合身(49) ; </t>
  </si>
  <si>
    <t>第 1 页 第 47 位</t>
  </si>
  <si>
    <t>2015夏装新款唐嫣明星同款连衣裙短袖显瘦气质镂空透视小黑裙女装</t>
  </si>
  <si>
    <t>卖家承诺24小时内发货|7天无理由|蚂蚁花呗|信用卡支付|集分宝|如实描述</t>
  </si>
  <si>
    <t>563803170wen</t>
  </si>
  <si>
    <t>3天3时0分14秒</t>
  </si>
  <si>
    <t>http://item.taobao.com/item.htm?id=520304080374</t>
  </si>
  <si>
    <t>http://item.kandianbao.com/520304080374/</t>
  </si>
  <si>
    <t>黑色，红色，蓝色</t>
  </si>
  <si>
    <t>镂空，纱网</t>
  </si>
  <si>
    <t>韩尚衣潮</t>
  </si>
  <si>
    <t xml:space="preserve">质量不错(142) ; 版型好(76) ; 穿着漂亮(73) ; 很舒适(72) ; 尺寸很准(48) ; 款式很好(30) ; </t>
  </si>
  <si>
    <t>第 1 页 第 48 位</t>
  </si>
  <si>
    <t>韩国代购2015夏季新款韩版性感女装显瘦OL包臀蕾丝镂空连衣裙短裙</t>
  </si>
  <si>
    <t>天使之城丶妞妞</t>
  </si>
  <si>
    <t>1天8时0分14秒</t>
  </si>
  <si>
    <t>http://item.taobao.com/item.htm?id=45818851323</t>
  </si>
  <si>
    <t>http://item.kandianbao.com/45818851323/</t>
  </si>
  <si>
    <t>黑色，红色，天蓝色</t>
  </si>
  <si>
    <t>S（有内衬），M（有内衬），L（有内衬）</t>
  </si>
  <si>
    <t>蕾丝</t>
  </si>
  <si>
    <t>00后</t>
  </si>
  <si>
    <t xml:space="preserve">整体不错(479) ; 板型很好(434) ; 穿着效果好(279) ; 衣服很舒服(220) ; 颜色挺正(196) ; 质量不行(33) ; </t>
  </si>
  <si>
    <t>第 2 页 第 1 位</t>
  </si>
  <si>
    <t>2015夏装新款女装长裙子优雅中长款修身大码拼接印花雪纺连衣裙女</t>
  </si>
  <si>
    <t>2YF2268--429</t>
  </si>
  <si>
    <t>5天4时30分34秒</t>
  </si>
  <si>
    <t>http://item.taobao.com/item.htm?id=45573789007</t>
  </si>
  <si>
    <t>http://item.kandianbao.com/45573789007/</t>
  </si>
  <si>
    <t>木纹花，粉花，绿花，黄花</t>
  </si>
  <si>
    <t>M，L，XL，XXL，3XL</t>
  </si>
  <si>
    <t>荷叶边，系带，印花</t>
  </si>
  <si>
    <t xml:space="preserve">衣服不错(2961) ; 版型漂亮(2161) ; 衣服很舒服(1416) ; 穿着效果好(919) ; 大小合适(866) ; 尺寸有偏差(277) ; </t>
  </si>
  <si>
    <t>第 2 页 第 2 位</t>
  </si>
  <si>
    <t>2015夏装新款女装韩版名媛假两件套装裙子短袖雪纺连衣裙女打底裙</t>
  </si>
  <si>
    <t>欣欣衣衣66</t>
  </si>
  <si>
    <t>3天3时50分14秒</t>
  </si>
  <si>
    <t>http://item.taobao.com/item.htm?id=520091596879</t>
  </si>
  <si>
    <t>http://item.kandianbao.com/520091596879/</t>
  </si>
  <si>
    <t>米白（优质布料），浅蓝（优质布料），米白色，浅蓝色</t>
  </si>
  <si>
    <t>钉珠，拉链，印花</t>
  </si>
  <si>
    <t>灯笼裙</t>
  </si>
  <si>
    <t>公主袖</t>
  </si>
  <si>
    <t xml:space="preserve">衣服不错(285) ; 版型好(155) ; 衣服很舒服(127) ; 穿着效果好(120) ; 尺寸很准(93) ; 款式好(86) ; </t>
  </si>
  <si>
    <t>第 2 页 第 3 位</t>
  </si>
  <si>
    <t>2015夏季裙子女露背收腰显瘦v领抹胸修身性感雪纺无袖连衣裙短裙</t>
  </si>
  <si>
    <t>韩流时尚女人街</t>
  </si>
  <si>
    <t>58分28秒</t>
  </si>
  <si>
    <t>http://item.taobao.com/item.htm?id=45761398641</t>
  </si>
  <si>
    <t>http://item.kandianbao.com/45761398641/</t>
  </si>
  <si>
    <t>蝴蝶结</t>
  </si>
  <si>
    <t>2015年春季</t>
  </si>
  <si>
    <t xml:space="preserve">整体不错(133) ; 板型很好(111) ; 穿着美(91) ; 很舒服(61) ; 码子很准(35) ; 款式漂亮(29) ; </t>
  </si>
  <si>
    <t>第 2 页 第 4 位</t>
  </si>
  <si>
    <t>歌兔印花连衣裙夏季长裙碎花雪纺2015夏装修身显瘦女装中长款裙子</t>
  </si>
  <si>
    <t>GT15CQZ73</t>
  </si>
  <si>
    <t>2天2时50分26秒</t>
  </si>
  <si>
    <t>http://item.taobao.com/item.htm?id=44630071873</t>
  </si>
  <si>
    <t>http://item.kandianbao.com/44630071873/</t>
  </si>
  <si>
    <t>椰树印花，向日葵印花，黑色印花，牡丹印花，鸟语花香，红色印花，蓝色印花</t>
  </si>
  <si>
    <t>抽褶，褶皱，拉链</t>
  </si>
  <si>
    <t xml:space="preserve">衣服不错(5689) ; 版式好(3542) ; 穿着美(2966) ; 很舒服(2618) ; 款式好(2388) ; 料子差(235) ; </t>
  </si>
  <si>
    <t>第 2 页 第 5 位</t>
  </si>
  <si>
    <t>欧洲站2015夏装新款韩版修身显瘦欧根纱印花背心裙子无袖连衣裙女</t>
  </si>
  <si>
    <t>FM150610</t>
  </si>
  <si>
    <t>juju899071</t>
  </si>
  <si>
    <t>3天3时46分56秒</t>
  </si>
  <si>
    <t>http://item.taobao.com/item.htm?id=520465734190</t>
  </si>
  <si>
    <t>http://item.kandianbao.com/520465734190/</t>
  </si>
  <si>
    <t>图片色</t>
  </si>
  <si>
    <t>XS，S，M，L，XL</t>
  </si>
  <si>
    <t>圆点</t>
  </si>
  <si>
    <t>蝴蝶结，系带，拼接，拉链，印花</t>
  </si>
  <si>
    <t xml:space="preserve">宝贝很赞(18) ; 式样好(12) ; 服务好(12) ; 尺码很好(8) ; 款式好看(8) ; 实惠(7) ; </t>
  </si>
  <si>
    <t>第 2 页 第 6 位</t>
  </si>
  <si>
    <t>欧洲站2015套装女夏女装小熊印花T背带长裙两件套连衣裙背带套装</t>
  </si>
  <si>
    <t>日韩女装专铺</t>
  </si>
  <si>
    <t>6天2时51分29秒</t>
  </si>
  <si>
    <t>http://item.taobao.com/item.htm?id=45617110699</t>
  </si>
  <si>
    <t>http://item.kandianbao.com/45617110699/</t>
  </si>
  <si>
    <t>单件T恤，背心裙，两件套，注明：涨价在即</t>
  </si>
  <si>
    <t>即将：涨价69元，S，M，L，XL，2XL</t>
  </si>
  <si>
    <t>系带，背带</t>
  </si>
  <si>
    <t xml:space="preserve">衣服不错(2136) ; 穿着效果好(1865) ; 版型好看(1518) ; 衣服很舒服(1339) ; 衣服很合身(801) ; 质量不行(143) ; </t>
  </si>
  <si>
    <t>第 2 页 第 7 位</t>
  </si>
  <si>
    <t>卡洛莱韩版修身露肩收腰A字裙2015夏季新款女装时尚雪纺连衣裙女</t>
  </si>
  <si>
    <t>KXXM572JW0</t>
  </si>
  <si>
    <t>卡洛莱旗舰店</t>
  </si>
  <si>
    <t>4天6时14分31秒</t>
  </si>
  <si>
    <t>http://item.taobao.com/item.htm?id=45785571808</t>
  </si>
  <si>
    <t>http://item.kandianbao.com/45785571808/</t>
  </si>
  <si>
    <t>绿色现货，白色现货，红色现货，粉色现货，橘色，水蓝色，玫红色现货</t>
  </si>
  <si>
    <t>160/M，165/L，170/XL，175/XXL，155/S</t>
  </si>
  <si>
    <t>抽褶，褶皱，拼接，拉链</t>
  </si>
  <si>
    <t>卡洛莱</t>
  </si>
  <si>
    <t xml:space="preserve">宝贝很赞(2188) ; 外形好看(1411) ; 款式好看(1203) ; 穿上好看(1160) ; 衣衣很舒服(976) ; 质量一般(145) ; </t>
  </si>
  <si>
    <t>第 2 页 第 8 位</t>
  </si>
  <si>
    <t>夏装新款2015韩版蕾丝欧根纱拼接网纱蓬蓬裙无袖a字裙公主连衣裙</t>
  </si>
  <si>
    <t>天将降莲花</t>
  </si>
  <si>
    <t>6天3时40分14秒</t>
  </si>
  <si>
    <t>http://item.taobao.com/item.htm?id=520323420745</t>
  </si>
  <si>
    <t>http://item.kandianbao.com/520323420745/</t>
  </si>
  <si>
    <t>普通面料易起球，白色</t>
  </si>
  <si>
    <t>收藏宝贝送小礼品，S，M，L，XL</t>
  </si>
  <si>
    <t>勾花镂空，拼接，纱网</t>
  </si>
  <si>
    <t>莲花家</t>
  </si>
  <si>
    <t xml:space="preserve">版式好(249) ; 衣服不错(199) ; 穿着美(89) ; 很舒服(82) ; 款式好(48) ; 人群(35) ; </t>
  </si>
  <si>
    <t>第 2 页 第 9 位</t>
  </si>
  <si>
    <t>2015韩版新款夏季无袖印花宽松亚麻中长款胖mm大码棉麻连衣裙 女</t>
  </si>
  <si>
    <t>zenglingxin5xx</t>
  </si>
  <si>
    <t>4.6; 4.6; 4.4</t>
  </si>
  <si>
    <t>5天1时50分14秒</t>
  </si>
  <si>
    <t>http://item.taobao.com/item.htm?id=45783442240</t>
  </si>
  <si>
    <t>http://item.kandianbao.com/45783442240/</t>
  </si>
  <si>
    <t>蓝色【优质棉麻】，白色【优质棉麻】，蓝色【普通面料】，白色【普通面料】</t>
  </si>
  <si>
    <t>S【85-98斤】，M【98-108斤】，L【108-120斤】，XL【120-130斤】，2XL【130-140斤】，3XL【140-150斤】</t>
  </si>
  <si>
    <t xml:space="preserve">宝贝很赞(806) ; 衣衣很舒服(746) ; 外形好看(497) ; 穿上好看(337) ; 料子好(308) ; 码数不合(100) ; </t>
  </si>
  <si>
    <t>第 2 页 第 10 位</t>
  </si>
  <si>
    <t>2015夏季新款韩版v领气质大码连衣裙雪纺拼接流苏复古中长裙女装</t>
  </si>
  <si>
    <t>卖家承诺7天内发货|7天无理由|蚂蚁花呗|信用卡支付|集分宝|如实描述</t>
  </si>
  <si>
    <t>江苏苏州</t>
  </si>
  <si>
    <t>jzjz0307</t>
  </si>
  <si>
    <t>4天22时48分46秒</t>
  </si>
  <si>
    <t>http://item.taobao.com/item.htm?id=520368699812</t>
  </si>
  <si>
    <t>http://item.kandianbao.com/520368699812/</t>
  </si>
  <si>
    <t>流苏，拼接，扎花</t>
  </si>
  <si>
    <t xml:space="preserve">质量好(59) ; 衣衣很舒服(48) ; 穿上好看(37) ; 式样好(32) ; 款式蛮好(26) ; 料子好(19) ; </t>
  </si>
  <si>
    <t>第 2 页 第 11 位</t>
  </si>
  <si>
    <t>2015夏装新款气质修身显瘦条纹波点碎花无袖连衣裙背心背带裙 潮</t>
  </si>
  <si>
    <t>优品女装团购网</t>
  </si>
  <si>
    <t>5天3时21分48秒</t>
  </si>
  <si>
    <t>http://item.taobao.com/item.htm?id=45847604765</t>
  </si>
  <si>
    <t>http://item.kandianbao.com/45847604765/</t>
  </si>
  <si>
    <t>白色羽毛，条纹，皇冠，字母，五角星，嘴唇，大格子，新推图案限时优惠，新出竖条纹图案！，竖条纹</t>
  </si>
  <si>
    <t>收藏分享送礼品！，M（建议100以下），L（建议100-110），XL（110-120）</t>
  </si>
  <si>
    <t>波浪</t>
  </si>
  <si>
    <t xml:space="preserve">质量蛮好(690) ; 外形好看(660) ; 穿着美(618) ; 很舒服(399) ; 码数很准(261) ; 不合身(50) ; </t>
  </si>
  <si>
    <t>第 2 页 第 12 位</t>
  </si>
  <si>
    <t>2015新款女夏装韩版直筒裙休闲大码女装宽松显瘦条纹印花连衣裙</t>
  </si>
  <si>
    <t>828#</t>
  </si>
  <si>
    <t>卖家承诺72小时内发货|8天退货，退货邮费买家承担|集分宝|支付宝支付|如实描述</t>
  </si>
  <si>
    <t>冷雨纷飞98</t>
  </si>
  <si>
    <t>3天17时24分19秒</t>
  </si>
  <si>
    <t>http://item.taobao.com/item.htm?id=520831632968</t>
  </si>
  <si>
    <t>http://item.kandianbao.com/520831632968/</t>
  </si>
  <si>
    <t>卡其条纹，黄色条纹，马上涨价59，只发圆通快递包邮</t>
  </si>
  <si>
    <t>今天拍送腰带，S，M，L，XL，2XL</t>
  </si>
  <si>
    <t>连袖</t>
  </si>
  <si>
    <t xml:space="preserve">质量好(26) ; 衣衣很舒服(23) ; 划算(22) ; 式样好(16) ; 穿上好看(14) ; 和描述一致(10) ; </t>
  </si>
  <si>
    <t>第 2 页 第 13 位</t>
  </si>
  <si>
    <t>2015夏季新款韩版印花无袖大码蓬蓬裙显瘦短裙小礼服夏天连衣裙子</t>
  </si>
  <si>
    <t>百衣公主</t>
  </si>
  <si>
    <t>3天2时13分20秒</t>
  </si>
  <si>
    <t>http://item.taobao.com/item.htm?id=520157530977</t>
  </si>
  <si>
    <t>http://item.kandianbao.com/520157530977/</t>
  </si>
  <si>
    <t>桃花粉色，桃花蓝色，259梦幻王国，黄色小花朵，蓝色小花朵，玫红小花朵，蓝色皇冠，小蝴蝶白色，小蝴蝶蓝色，黑白小丑人，小猫咪蓝色，红色小红花，蓝色小红花，玫瑰大红花，复古人物，复古建筑，冰点钻石，人名币头像，螺纹钻石粉色，螺纹钻石玫红色，螺纹钻石宝蓝色，螺纹钻石黑色，螺纹钻石白色，彩色城堡，乳白色，白色，浅灰色，玫红色，红色，青色，宝蓝色，深蓝色，湖蓝色，蓝色，藏青色，紫色，深卡其布色</t>
  </si>
  <si>
    <t>螺纹</t>
  </si>
  <si>
    <t xml:space="preserve">板型很好(328) ; 整体不错(315) ; 穿着美(153) ; 码子很准(114) ; 很舒服(57) ; 面料好(54) ; </t>
  </si>
  <si>
    <t>第 2 页 第 14 位</t>
  </si>
  <si>
    <t>全国包邮夏装新款宽松网纱蕾丝无袖连衣裙女短裙子蓬蓬公主裙白色</t>
  </si>
  <si>
    <t>XX</t>
  </si>
  <si>
    <t>1.单笔订单满188元免运费(不包邮地区：内蒙古;黑龙江;甘肃;青海;宁夏;新疆;西藏;台湾;香港;澳门)；亲，快下手吧！</t>
  </si>
  <si>
    <t>蜜蜜家98</t>
  </si>
  <si>
    <t>http://item.taobao.com/item.htm?id=520268948186</t>
  </si>
  <si>
    <t>http://item.kandianbao.com/520268948186/</t>
  </si>
  <si>
    <t>白色</t>
  </si>
  <si>
    <t>S【正版】，M【正版】，L【正版】</t>
  </si>
  <si>
    <t>勾花镂空，拼接，纱网，蕾丝</t>
  </si>
  <si>
    <t xml:space="preserve">版型好(580) ; 质量好(444) ; 穿着漂亮(181) ; 很舒适(170) ; 尺寸很准(82) ; 穿着效果不好(54) ; </t>
  </si>
  <si>
    <t>第 2 页 第 15 位</t>
  </si>
  <si>
    <t>夏季新款2015夏装女装新款韩版中长款修身显瘦雪纺印花连衣裙子潮</t>
  </si>
  <si>
    <t>卖家承诺5天内发货|7天无理由|蚂蚁花呗|信用卡支付|集分宝|如实描述</t>
  </si>
  <si>
    <t>时尚米娜服装</t>
  </si>
  <si>
    <t>6天17时49分32秒</t>
  </si>
  <si>
    <t>http://item.taobao.com/item.htm?id=520472986278</t>
  </si>
  <si>
    <t>http://item.kandianbao.com/520472986278/</t>
  </si>
  <si>
    <t>镶钻，口袋，系带，纽扣，3D，印花</t>
  </si>
  <si>
    <t xml:space="preserve">质量不错(74) ; 款式很好(52) ; 穿着漂亮(41) ; 板型很好(41) ; 码子很准(37) ; 很舒适(33) ; </t>
  </si>
  <si>
    <t>第 2 页 第 16 位</t>
  </si>
  <si>
    <t>2015夏季新款韩版女装性感无袖背心裙修身短裙吊带沙滩碎花连衣裙</t>
  </si>
  <si>
    <t>满148元，省5元|满248元，省10元|满348元，省20元</t>
  </si>
  <si>
    <t>芊姿铭旗舰店</t>
  </si>
  <si>
    <t>4.6; 4.7; 4.8</t>
  </si>
  <si>
    <t>4天19时57分24秒</t>
  </si>
  <si>
    <t>http://item.taobao.com/item.htm?id=44142652151</t>
  </si>
  <si>
    <t>http://item.kandianbao.com/44142652151/</t>
  </si>
  <si>
    <t>白色，粉色，绿色，蓝色，黄色，黑色</t>
  </si>
  <si>
    <t>XS，S，M，L，XL，XXL</t>
  </si>
  <si>
    <t>荷叶边，露背，印花</t>
  </si>
  <si>
    <t>再生纤维素纤维73.8% 聚对苯二甲酸乙二酯(涤纶)22.7% 聚氨酯弹性纤维(氨纶)3.5%</t>
  </si>
  <si>
    <t>芊姿铭</t>
  </si>
  <si>
    <t xml:space="preserve">式样好(4467) ; 质量蛮好(4378) ; 穿着效果好(3990) ; 衣服很舒服(1641) ; 尺码很好(1326) ; 颜色不喜欢(772) ; </t>
  </si>
  <si>
    <t>第 2 页 第 17 位</t>
  </si>
  <si>
    <t>2015夏季新款韩版女装甜美学院风条纹拼色露肩可爱娃娃款连衣裙潮</t>
  </si>
  <si>
    <t>qq395950340</t>
  </si>
  <si>
    <t>http://item.taobao.com/item.htm?id=520355332942</t>
  </si>
  <si>
    <t>http://item.kandianbao.com/520355332942/</t>
  </si>
  <si>
    <t>其它尺码，S，M，L，XL，2XL</t>
  </si>
  <si>
    <t xml:space="preserve">外形好看(84) ; 很舒适(60) ; 宝贝很赞(60) ; 很划算(45) ; 穿着漂亮(37) ; 码数很准(21) ; </t>
  </si>
  <si>
    <t>第 2 页 第 18 位</t>
  </si>
  <si>
    <t>2015棉麻连衣裙夏文艺复古气质显瘦大码休闲亚麻两件套装裙长裙女</t>
  </si>
  <si>
    <t>7天无理由|信用卡支付|集分宝|支付宝支付|如实描述</t>
  </si>
  <si>
    <t>伊利儿服饰</t>
  </si>
  <si>
    <t>4天21时50分54秒</t>
  </si>
  <si>
    <t>http://item.taobao.com/item.htm?id=520564014099</t>
  </si>
  <si>
    <t>http://item.kandianbao.com/520564014099/</t>
  </si>
  <si>
    <t>灰色，粉红色，绿色</t>
  </si>
  <si>
    <t>M，L，XL，2XL</t>
  </si>
  <si>
    <t xml:space="preserve">整体不错(37) ; 衣服很舒服(35) ; 穿着效果好(20) ; 很便宜(13) ; 式样好(13) ; 布料好(12) ; </t>
  </si>
  <si>
    <t>第 2 页 第 19 位</t>
  </si>
  <si>
    <t>zhouhaizhi88</t>
  </si>
  <si>
    <t>3天23时28分19秒</t>
  </si>
  <si>
    <t>http://item.taobao.com/item.htm?id=520044602048</t>
  </si>
  <si>
    <t>http://item.kandianbao.com/520044602048/</t>
  </si>
  <si>
    <t>军绿【优质棉麻】，粉色【优质棉麻】，红色【优质棉麻】，桔色【优质棉麻】，绿色 普通面料，粉色 普通面料，红色 普通面料，桔色 普通面料，桔红色，红色，军绿色</t>
  </si>
  <si>
    <t xml:space="preserve">质量好(385) ; 衣衣很舒服(242) ; 版型好看(232) ; 穿上好看(157) ; 衣服很合身(138) ; 码数不合(40) ; </t>
  </si>
  <si>
    <t>第 2 页 第 20 位</t>
  </si>
  <si>
    <t>新款V领中长款修身短袖连衣裙韩版纯色侧开叉打底t恤裙子女春夏装</t>
  </si>
  <si>
    <t>T021</t>
  </si>
  <si>
    <t>韩熹儿阔傲专卖店</t>
  </si>
  <si>
    <t>4天22时0分18秒</t>
  </si>
  <si>
    <t>http://item.taobao.com/item.htm?id=520306305470</t>
  </si>
  <si>
    <t>http://item.kandianbao.com/520306305470/</t>
  </si>
  <si>
    <t>8258黑色</t>
  </si>
  <si>
    <t>聚对苯二甲酸乙二酯(涤纶)100%</t>
  </si>
  <si>
    <t>韩熹儿</t>
  </si>
  <si>
    <t xml:space="preserve">质量好(242) ; 很舒适(225) ; 穿着漂亮(115) ; 板型很好(95) ; 料子不错(80) ; 颜色不喜欢(56) ; </t>
  </si>
  <si>
    <t>第 2 页 第 21 位</t>
  </si>
  <si>
    <t>韩国代购2015夏装新款女装修身裙子蓬蓬A字裙中裙红色连衣裙夏季</t>
  </si>
  <si>
    <t>51Q020</t>
  </si>
  <si>
    <t>韩韩美贞</t>
  </si>
  <si>
    <t>http://item.taobao.com/item.htm?id=45826090664</t>
  </si>
  <si>
    <t>http://item.kandianbao.com/45826090664/</t>
  </si>
  <si>
    <t xml:space="preserve">质量好(139) ; 外形好看(67) ; 衣衣很舒服(61) ; 穿上好看(59) ; 款式蛮好(58) ; 做工好(56) ; </t>
  </si>
  <si>
    <t>第 2 页 第 22 位</t>
  </si>
  <si>
    <t>2015夏装韩版甜美气质修身显瘦勾花镂空A字蕾丝连衣裙包臀裙短裙</t>
  </si>
  <si>
    <t>卖家承诺20小时内发货|8天退货，退货邮费卖家承担|蚂蚁花呗|信用卡支付|集分宝|如实描述</t>
  </si>
  <si>
    <t>xiaols24</t>
  </si>
  <si>
    <t>6天5时10分14秒</t>
  </si>
  <si>
    <t>http://item.taobao.com/item.htm?id=520599060645</t>
  </si>
  <si>
    <t>http://item.kandianbao.com/520599060645/</t>
  </si>
  <si>
    <t>黑色，粉红色，红色，天蓝色</t>
  </si>
  <si>
    <t>特价仅此一天，S，M，L，XL，2XL，3XL</t>
  </si>
  <si>
    <t>蝴蝶结，勾花镂空，蕾丝</t>
  </si>
  <si>
    <t xml:space="preserve">版型好看(23) ; 整体不错(21) ; 穿着美(20) ; 实惠(15) ; 很舒服(14) ; 如实描述(10) ; </t>
  </si>
  <si>
    <t>第 2 页 第 23 位</t>
  </si>
  <si>
    <t>2015夏季大码修身中长款短袖T恤连衣裙短裙女装韩版显瘦横条纹潮</t>
  </si>
  <si>
    <t>L0001</t>
  </si>
  <si>
    <t>广东揭阳</t>
  </si>
  <si>
    <t>沃茨凯旗舰店</t>
  </si>
  <si>
    <t>http://item.taobao.com/item.htm?id=520887827453</t>
  </si>
  <si>
    <t>http://item.kandianbao.com/520887827453/</t>
  </si>
  <si>
    <t>M，L，XL，XXL，XXXL</t>
  </si>
  <si>
    <t>3D</t>
  </si>
  <si>
    <t>聚对苯二甲酸乙二酯(涤纶)90% 聚氨酯弹性纤维(氨纶)10%</t>
  </si>
  <si>
    <t>wocicai/沃茨凯</t>
  </si>
  <si>
    <t xml:space="preserve">很舒服(11) ; 划算(11) ; 快递不错(11) ; 质量蛮好(9) ; 态度不错(7) ; 码子很准(6) ; </t>
  </si>
  <si>
    <t>第 2 页 第 24 位</t>
  </si>
  <si>
    <t>欧洲站2015春夏款圆领无袖背心修身A字百褶镂空蓬蓬连衣裙短长裙</t>
  </si>
  <si>
    <t>潮流前线8838</t>
  </si>
  <si>
    <t>2天2时50分14秒</t>
  </si>
  <si>
    <t>http://item.taobao.com/item.htm?id=45537007717</t>
  </si>
  <si>
    <t>http://item.kandianbao.com/45537007717/</t>
  </si>
  <si>
    <t>白色，黑色，红色</t>
  </si>
  <si>
    <t>S【高质面料】，M【高质面料】，L【高质面料】，XL【高质面料】</t>
  </si>
  <si>
    <t xml:space="preserve">衣服不错(357) ; 版型漂亮(270) ; 穿着美(194) ; 颜色很好(85) ; 大小合适(75) ; 很舒服(56) ; </t>
  </si>
  <si>
    <t>第 2 页 第 25 位</t>
  </si>
  <si>
    <t>15夏季短袖条纹显瘦性感包臀短裙修身中长款针织时尚气质连衣裙女</t>
  </si>
  <si>
    <t>尕琳shop</t>
  </si>
  <si>
    <t>5天21时20分14秒</t>
  </si>
  <si>
    <t>http://item.taobao.com/item.htm?id=520726643134</t>
  </si>
  <si>
    <t>http://item.kandianbao.com/520726643134/</t>
  </si>
  <si>
    <t>条纹，黑色，粉红色，红色，桔色</t>
  </si>
  <si>
    <t>S，M，L</t>
  </si>
  <si>
    <t>系带，不对称</t>
  </si>
  <si>
    <t>第 2 页 第 26 位</t>
  </si>
  <si>
    <t>2015夏季新款女装修身蕾丝拼接雪纺连衣裙显瘦假两件无袖连衣裙女</t>
  </si>
  <si>
    <t>李大嘴潮流坊</t>
  </si>
  <si>
    <t>2天3时25分14秒</t>
  </si>
  <si>
    <t>http://item.taobao.com/item.htm?id=520373990716</t>
  </si>
  <si>
    <t>http://item.kandianbao.com/520373990716/</t>
  </si>
  <si>
    <t>拼接，蕾丝</t>
  </si>
  <si>
    <t xml:space="preserve">版型好看(100) ; 宝贝很赞(99) ; 便宜(77) ; 穿上好看(53) ; 衣服很合身(39) ; 衣衣很舒服(30) ; </t>
  </si>
  <si>
    <t>第 2 页 第 27 位</t>
  </si>
  <si>
    <t>2015夏装裙子性感短裙夏季女装中裙蕾丝拼接雪纺中长款短袖连衣裙</t>
  </si>
  <si>
    <t>韩恋衣柜</t>
  </si>
  <si>
    <t>1天22时36分41秒</t>
  </si>
  <si>
    <t>http://item.taobao.com/item.htm?id=520373202665</t>
  </si>
  <si>
    <t>http://item.kandianbao.com/520373202665/</t>
  </si>
  <si>
    <t>【印花连衣裙】</t>
  </si>
  <si>
    <t>S【普通面料25】，M【普通面料25】，L【普通面料25】，XL【普通面料25】，2XL【普通面料25，S【优质布料31】，M【优质布料31】，L【优质布料31】，XL【优质布料31】，2XL【优质布料31</t>
  </si>
  <si>
    <t>荷叶边，拼接，拉链，蕾丝，印花</t>
  </si>
  <si>
    <t xml:space="preserve">质量蛮好(50) ; 很舒服(43) ; 版型好(28) ; 态度不错(25) ; 穿着美(20) ; 尺寸很准(19) ; </t>
  </si>
  <si>
    <t>第 2 页 第 28 位</t>
  </si>
  <si>
    <t>欧洲站2015夏装磨破拼皮牛仔背带裙夏显瘦复古牛仔背带裙连衣裙潮</t>
  </si>
  <si>
    <t>广东深圳</t>
  </si>
  <si>
    <t>coco小新娘</t>
  </si>
  <si>
    <t>2天4时27分34秒</t>
  </si>
  <si>
    <t>http://item.taobao.com/item.htm?id=520521574957</t>
  </si>
  <si>
    <t>http://item.kandianbao.com/520521574957/</t>
  </si>
  <si>
    <t>手工磨破</t>
  </si>
  <si>
    <t xml:space="preserve">衣服不错(16) ; 很划算(10) ; 版型好看(8) ; 快递不错(8) ; 态度不错(6) ; 很舒服(5) ; </t>
  </si>
  <si>
    <t>第 2 页 第 29 位</t>
  </si>
  <si>
    <t>2015夏装新款大码女装森女文艺小清新樱桃印花棉麻短袖宽松连衣裙</t>
  </si>
  <si>
    <t>8天退货，退货邮费买家承担|蚂蚁花呗|集分宝|支付宝支付|如实描述</t>
  </si>
  <si>
    <t>试居谪诹7422</t>
  </si>
  <si>
    <t>3天3时30分14秒</t>
  </si>
  <si>
    <t>http://item.taobao.com/item.htm?id=520153511262</t>
  </si>
  <si>
    <t>http://item.kandianbao.com/520153511262/</t>
  </si>
  <si>
    <t>三粒扣</t>
  </si>
  <si>
    <t>白色，藏青色</t>
  </si>
  <si>
    <t>蝴蝶结，抽褶，纽扣，印花</t>
  </si>
  <si>
    <t>飞飞袖</t>
  </si>
  <si>
    <t>木易家</t>
  </si>
  <si>
    <t>森女</t>
  </si>
  <si>
    <t xml:space="preserve">很舒适(462) ; 质量不错(438) ; 板型很好(402) ; 料子不错(278) ; 穿着漂亮(241) ; 衣服很薄(64) ; </t>
  </si>
  <si>
    <t>第 2 页 第 30 位</t>
  </si>
  <si>
    <t>2015夏季新款韩版修身显瘦休闲无袖连衣裙女装两件套背带裙套装裙</t>
  </si>
  <si>
    <t>GNDL0189</t>
  </si>
  <si>
    <t>古妮迪莎伦维专卖店</t>
  </si>
  <si>
    <t>4.6; 4.6; 4.7</t>
  </si>
  <si>
    <t>6天18时59分1秒</t>
  </si>
  <si>
    <t>http://item.taobao.com/item.htm?id=45903964105</t>
  </si>
  <si>
    <t>http://item.kandianbao.com/45903964105/</t>
  </si>
  <si>
    <t>2304裙子+2292白色T恤</t>
  </si>
  <si>
    <t>古妮迪</t>
  </si>
  <si>
    <t xml:space="preserve">衣服不错(768) ; 很舒服(591) ; 版型好看(315) ; 穿着美(304) ; 款式好(291) ; 质量不行(67) ; </t>
  </si>
  <si>
    <t>第 2 页 第 31 位</t>
  </si>
  <si>
    <t>包邮2015春夏新款妈妈装 中老年女装冰丝连衣裙 中年大码碎花裙子</t>
  </si>
  <si>
    <t>方块连衣裙</t>
  </si>
  <si>
    <t>控心丶sorrow</t>
  </si>
  <si>
    <t>4天20时30分59秒</t>
  </si>
  <si>
    <t>http://item.taobao.com/item.htm?id=20272763953</t>
  </si>
  <si>
    <t>http://item.kandianbao.com/20272763953/</t>
  </si>
  <si>
    <t>12号色，白玫瑰，15号色，新2号色，16号色，水波纹，3号色，水仙花，8号色，11号色，9号色，7号色，20号色，19号色，10号色，26号色，25号色，23号色，27号色，22号色，1号色，21号色，17号色，18号色，乳白色，米白色，浅灰色，黑色，姜黄色</t>
  </si>
  <si>
    <t>质量保证，七天无理由退换，L （85-95斤），XL（95-110斤），2XL（110-120斤），3XL（120-135斤），4XL（135-150斤），【默认申通汇通快递】，全网第一，价格最低</t>
  </si>
  <si>
    <t xml:space="preserve">衣服不错(1125) ; 人群(827) ; 很舒服(706) ; 版型好(600) ; 穿着美(369) ; 不合身(183) ; </t>
  </si>
  <si>
    <t>第 2 页 第 32 位</t>
  </si>
  <si>
    <t>2015春夏新款韩版长裙连衣裙欧美莫代尔背心裙波西米亚长款连体裙</t>
  </si>
  <si>
    <t>江苏徐州</t>
  </si>
  <si>
    <t>聚光帝</t>
  </si>
  <si>
    <t>6天4时24分51秒</t>
  </si>
  <si>
    <t>http://item.taobao.com/item.htm?id=18505173189</t>
  </si>
  <si>
    <t>http://item.kandianbao.com/18505173189/</t>
  </si>
  <si>
    <t>香芋紫[125cm长裙]，黑白条纹[125cm长裙]，藏青条纹[125cm长裙]，黑色[125cm长裙]，深灰[125cm长裙]，浅灰[125cm长裙]，玫红[125cm长裙]，酒红[125cm长裙]，军绿[125cm长裙]，荧光绿[125cm长裙]，宝蓝[125cm长裙]，藏青[125cm长裙]，满3件纯色15.9/件，满3件条纹20/件，请选颜色下单，要哪个拍哪个哦，黑色</t>
  </si>
  <si>
    <t>简约</t>
  </si>
  <si>
    <t>均码建议90-140斤</t>
  </si>
  <si>
    <t xml:space="preserve">很舒服(2555) ; 整体不错(1534) ; 穿着美(554) ; 版型好看(527) ; 面料好(424) ; 有点薄(379) ; </t>
  </si>
  <si>
    <t>第 2 页 第 33 位</t>
  </si>
  <si>
    <t>夏人造棉印花碎花棉绸波西米亚沙滩裙度假裙长裙无袖背心裙连衣裙</t>
  </si>
  <si>
    <t>夏衣唯美</t>
  </si>
  <si>
    <t>4天3时25分39秒</t>
  </si>
  <si>
    <t>http://item.taobao.com/item.htm?id=520079956508</t>
  </si>
  <si>
    <t>http://item.kandianbao.com/520079956508/</t>
  </si>
  <si>
    <t>经典梦露，黑圆圈，蓝图腾，黑图腾，大唐舞妃，冰绿菱形，方块绿，橘底圆圈，红底圆圈，绿底圆圈，欧式竖纹，欧式红竖花，多彩呈祥，复古猫咪，竖条小红花，多彩腾花，几何圆圈拼接，多彩孔雀羽，米字旗</t>
  </si>
  <si>
    <t>均码 80-125可穿，手机下单更优惠，多拍有优惠</t>
  </si>
  <si>
    <t xml:space="preserve">衣衣很舒服(120) ; 划算(88) ; 质量好(85) ; 板型很好(73) ; 穿上好看(39) ; 料子好(35) ; </t>
  </si>
  <si>
    <t>第 2 页 第 34 位</t>
  </si>
  <si>
    <t>夏季连衣裙2015新款韩版大码女装T恤裙宽松字母简约修身无袖长裙</t>
  </si>
  <si>
    <t>卖家承诺48小时内发货|8天退货，退货邮费买家承担|蚂蚁花呗|集分宝|支付宝支付|如实描述</t>
  </si>
  <si>
    <t>广东肇庆</t>
  </si>
  <si>
    <t>辉茵阁02</t>
  </si>
  <si>
    <t>1天4时25分14秒</t>
  </si>
  <si>
    <t>http://item.taobao.com/item.htm?id=520233829503</t>
  </si>
  <si>
    <t>http://item.kandianbao.com/520233829503/</t>
  </si>
  <si>
    <t xml:space="preserve">整体不错(221) ; 衣服很舒服(100) ; 式样好(74) ; 穿着效果好(69) ; 尺码很好(57) ; 款式漂亮(50) ; </t>
  </si>
  <si>
    <t>第 2 页 第 35 位</t>
  </si>
  <si>
    <t>连衣裙夏季女2015新款棉绸沙滩裙无袖吊带裙夏波西米亚短裙度假裙</t>
  </si>
  <si>
    <t>卖家承诺48小时内发货|8天退货，退货邮费买家承担|蚂蚁花呗|信用卡支付|集分宝|如实描述</t>
  </si>
  <si>
    <t>jiawdetaobao</t>
  </si>
  <si>
    <t>4天4时33分4秒</t>
  </si>
  <si>
    <t>http://item.taobao.com/item.htm?id=44498365146</t>
  </si>
  <si>
    <t>http://item.kandianbao.com/44498365146/</t>
  </si>
  <si>
    <t>蓝底炫花2号，气球碎花，蓝底炫花，蓝底樱桃花，单层红格，单层蓝格，黑底太阳花，单层抽象碎花，单层圆点，玫瑰小碎花，黑底樱桃花</t>
  </si>
  <si>
    <t>自主品牌</t>
  </si>
  <si>
    <t xml:space="preserve">很舒适(656) ; 质量不错(432) ; 外形好看(306) ; 料子不错(244) ; 穿着漂亮(188) ; 尺码不对(36) ; </t>
  </si>
  <si>
    <t>第 2 页 第 36 位</t>
  </si>
  <si>
    <t>夏装新款连衣裙森女日系刺绣收腰中长款裙子小清新棉麻短袖学生裙</t>
  </si>
  <si>
    <t>1.单笔订单满88元减3元；免运费；减后满88元，送礼物，送3.00元优惠卷，亲，快下手吧！|2.单笔订单满128元减5元；免运费；减后满128元，送礼物，送5.00元优惠卷，亲，快下手吧！|3.单笔订单满388元减10元；免运费；减后满388元，送礼物，送10.00元优惠卷，亲，快下手吧！</t>
  </si>
  <si>
    <t>us时尚风阁</t>
  </si>
  <si>
    <t>4.7; 4.7; 4.5</t>
  </si>
  <si>
    <t>http://item.taobao.com/item.htm?id=45615417292</t>
  </si>
  <si>
    <t>http://item.kandianbao.com/45615417292/</t>
  </si>
  <si>
    <t>口袋连衣裙，刺绣鱼，蓝白裙，绿条纹裙，民族刺绣，细条纹裙，蓝条纹裙，蕾丝领连衣裙，田园刺绣，两件套，蕾丝裙，露肩裙，大树裙，海锚裙，贴布树裙，小旗连衣裙，红条纹裙（棉），白木耳边，字母裙，薄牛仔裙，眼睛裙，棉麻露肩裙，碎花裙</t>
  </si>
  <si>
    <t>均码（好质量），收藏送淘金币</t>
  </si>
  <si>
    <t>贴布，绣花，口袋，拼接，纽扣，蕾丝，印花</t>
  </si>
  <si>
    <t xml:space="preserve">宝贝很赞(955) ; 外形好看(905) ; 衣衣很舒服(481) ; 穿上好看(462) ; 料子好(318) ; 质量一般(70) ; </t>
  </si>
  <si>
    <t>第 2 页 第 37 位</t>
  </si>
  <si>
    <t>彩黛妃2015春夏装新款时尚韩版修身大码镂空拼接短袖连衣裙T0756</t>
  </si>
  <si>
    <t>T0756</t>
  </si>
  <si>
    <t>5天17时10分30秒</t>
  </si>
  <si>
    <t>http://item.taobao.com/item.htm?id=39586932993</t>
  </si>
  <si>
    <t>http://item.kandianbao.com/39586932993/</t>
  </si>
  <si>
    <t>黑白</t>
  </si>
  <si>
    <t xml:space="preserve">整体不错(3384) ; 穿着美(2697) ; 版型好看(2362) ; 衣服很合身(1427) ; 款式漂亮(798) ; 物流太慢(212) ; </t>
  </si>
  <si>
    <t>第 2 页 第 38 位</t>
  </si>
  <si>
    <t>2015夏季森女无袖背心连衣裙小清新甜美学生短裙子蕾丝花朵闺蜜装</t>
  </si>
  <si>
    <t>茴香依依</t>
  </si>
  <si>
    <t>6天4时4分43秒</t>
  </si>
  <si>
    <t>http://item.taobao.com/item.htm?id=520436013104</t>
  </si>
  <si>
    <t>http://item.kandianbao.com/520436013104/</t>
  </si>
  <si>
    <t>白色【优质面料】，蓝色【优质面料】，粉红【优质面料】，白色【普通面料】，蓝色【普通面料】，粉红【普通面料】</t>
  </si>
  <si>
    <t>蝴蝶结，拼接，纱网</t>
  </si>
  <si>
    <t xml:space="preserve">质量好(65) ; 板型很好(61) ; 服务不错(34) ; 物流快(32) ; 穿上好看(23) ; 没有色差(20) ; </t>
  </si>
  <si>
    <t>第 2 页 第 39 位</t>
  </si>
  <si>
    <t>2015夏秋季新品女装雪纺两件套套装裙气质性感修身包臀开叉连衣裙</t>
  </si>
  <si>
    <t>A1689</t>
  </si>
  <si>
    <t>艾薇妮露</t>
  </si>
  <si>
    <t>3天2时12分18秒</t>
  </si>
  <si>
    <t>http://item.taobao.com/item.htm?id=520677973804</t>
  </si>
  <si>
    <t>http://item.kandianbao.com/520677973804/</t>
  </si>
  <si>
    <t>上衣+半身裙套装，单件上衣，单件裙子</t>
  </si>
  <si>
    <t>不对称</t>
  </si>
  <si>
    <t>第 2 页 第 40 位</t>
  </si>
  <si>
    <t>两件套连衣裙夏季中裙韩版新款印花短袖雪纺套装修身蕾丝女装裙子</t>
  </si>
  <si>
    <t>卖家承诺24小时内发货|15天退货，退货邮费买家承担|蚂蚁花呗|信用卡支付|集分宝|如实描述</t>
  </si>
  <si>
    <t>完美_衣恋</t>
  </si>
  <si>
    <t>2天2时55分14秒</t>
  </si>
  <si>
    <t>http://item.taobao.com/item.htm?id=520501401676</t>
  </si>
  <si>
    <t>http://item.kandianbao.com/520501401676/</t>
  </si>
  <si>
    <t>单件上衣，单件裙子，(上衣+裙子)，提示：马上涨价</t>
  </si>
  <si>
    <t>绣花，拼接，蕾丝，印花</t>
  </si>
  <si>
    <t xml:space="preserve">外形好看(28) ; 宝贝很赞(20) ; 码数很准(16) ; 衣衣很舒服(16) ; 服务不错(13) ; 便宜(12) ; </t>
  </si>
  <si>
    <t>第 2 页 第 41 位</t>
  </si>
  <si>
    <t>毛菇小象 牛仔背带连衣裙2015夏女吊带背心裙子修身显瘦秋装中裙</t>
  </si>
  <si>
    <t>G1146</t>
  </si>
  <si>
    <t>1.单笔订单满168元免运费(不包邮地区：内蒙古;甘肃;青海;宁夏;新疆;西藏;台湾;香港;澳门;海外)，上不封顶！亲，快下手吧！</t>
  </si>
  <si>
    <t>卖家承诺15天内发货|7天无理由|蚂蚁花呗|信用卡支付|集分宝|如实描述</t>
  </si>
  <si>
    <t>毛菇小象</t>
  </si>
  <si>
    <t>1天3时59分16秒</t>
  </si>
  <si>
    <t>http://item.taobao.com/item.htm?id=45376149752</t>
  </si>
  <si>
    <t>http://item.kandianbao.com/45376149752/</t>
  </si>
  <si>
    <t>蓝色</t>
  </si>
  <si>
    <t>口袋，纽扣</t>
  </si>
  <si>
    <t>SMALL LIKE/毛菇小象</t>
  </si>
  <si>
    <t xml:space="preserve">质量好(83) ; 式样好(30) ; 穿上好看(22) ; 衣衣很舒服(19) ; 料子好(17) ; 码数不合(18) ; </t>
  </si>
  <si>
    <t>第 2 页 第 42 位</t>
  </si>
  <si>
    <t>jto 夏装新款韩版欧根纱连衣裙短袖波点两件套高腰蓬蓬裙女071425</t>
  </si>
  <si>
    <t>http://item.taobao.com/item.htm?id=520610422686</t>
  </si>
  <si>
    <t>http://item.kandianbao.com/520610422686/</t>
  </si>
  <si>
    <t>M，L</t>
  </si>
  <si>
    <t>纱网</t>
  </si>
  <si>
    <t xml:space="preserve">外形好看(22) ; 质量不错(12) ; 穿着漂亮(11) ; 服务好(9) ; 很舒适(7) ; 不舒适(4) ; </t>
  </si>
  <si>
    <t>第 2 页 第 43 位</t>
  </si>
  <si>
    <t>欧洲站2015夏季新款字母印花连帽修身海军风卫衣连衣裙大码女中裙</t>
  </si>
  <si>
    <t>粉黛尔女装829</t>
  </si>
  <si>
    <t>1天16时4分53秒</t>
  </si>
  <si>
    <t>http://item.taobao.com/item.htm?id=44953419115</t>
  </si>
  <si>
    <t>http://item.kandianbao.com/44953419115/</t>
  </si>
  <si>
    <t>连帽</t>
  </si>
  <si>
    <t>海军蓝【短袖】，灰色【短袖】，灰色【秋长袖】，海军蓝【秋长袖】</t>
  </si>
  <si>
    <t>树脂固色，印花</t>
  </si>
  <si>
    <t xml:space="preserve">衣服不错(96) ; 衣服很舒服(59) ; 穿着效果好(54) ; 布料好(28) ; 尺码很好(27) ; 尺寸有偏差(11) ; </t>
  </si>
  <si>
    <t>第 2 页 第 44 位</t>
  </si>
  <si>
    <t>2015夏季新款韩版女装连衣裙显瘦吊带裙无袖宽松破洞牛仔背带裙潮</t>
  </si>
  <si>
    <t>miley006</t>
  </si>
  <si>
    <t>5天1时56分24秒</t>
  </si>
  <si>
    <t>http://item.taobao.com/item.htm?id=45636774070</t>
  </si>
  <si>
    <t>http://item.kandianbao.com/45636774070/</t>
  </si>
  <si>
    <t>白色（背带），黑色（背带），白色背带+黑背心，黑色背带+白背心，白色背带+白背心，黑色背带+黑背心</t>
  </si>
  <si>
    <t>流苏，破洞，露背，手工磨破，口袋，背带，印花</t>
  </si>
  <si>
    <t xml:space="preserve">宝贝很赞(413) ; 版型好看(246) ; 穿着漂亮(171) ; 很舒适(143) ; 衣服很合身(107) ; 很薄(53) ; </t>
  </si>
  <si>
    <t>第 3 页 第 1 位</t>
  </si>
  <si>
    <t>a328643702</t>
  </si>
  <si>
    <t>4天3时40分25秒</t>
  </si>
  <si>
    <t>http://item.taobao.com/item.htm?id=44018481952</t>
  </si>
  <si>
    <t>http://item.kandianbao.com/44018481952/</t>
  </si>
  <si>
    <t>15号色，12号色，11号色，9号色，5号色，3号色，2号色，13号色，16号色</t>
  </si>
  <si>
    <t>【套餐更多优惠】，L，XL，2XL，3XL，4XL</t>
  </si>
  <si>
    <t>褶皱，印花</t>
  </si>
  <si>
    <t xml:space="preserve">宝贝很赞(1997) ; 人群(1746) ; 衣衣很舒服(1397) ; 外形好看(1038) ; 穿上好看(747) ; 码数不合(128) ; </t>
  </si>
  <si>
    <t>第 3 页 第 2 位</t>
  </si>
  <si>
    <t>夏季连衣裙2015春夏新款韩版女式短袖T恤裙大码女装字母宽松长裙</t>
  </si>
  <si>
    <t>6天21时56分54秒</t>
  </si>
  <si>
    <t>http://item.taobao.com/item.htm?id=45393481059</t>
  </si>
  <si>
    <t>http://item.kandianbao.com/45393481059/</t>
  </si>
  <si>
    <t>黑色（优质正品），白色（优质正品），黑色（普通起球）</t>
  </si>
  <si>
    <t>S（不起球），M（质量超好），L（厂家直供），XL（全国包邮），XXL（数量有限），3XL(好质量)，4XL(限量抢购)，质量问题包退，优质质量超好，收藏送礼物，100%不起球不掉色</t>
  </si>
  <si>
    <t xml:space="preserve">整体不错(2505) ; 衣服很舒服(2151) ; 穿着效果好(1468) ; 式样好(1035) ; 布料好(726) ; 颜色一般(259) ; </t>
  </si>
  <si>
    <t>第 3 页 第 3 位</t>
  </si>
  <si>
    <t>2015夏装新款女装镂空欧根纱蓬蓬裙 印花碎花两件套连衣裙套装女</t>
  </si>
  <si>
    <t>5天22时22分39秒</t>
  </si>
  <si>
    <t>http://item.taobao.com/item.htm?id=520318339796</t>
  </si>
  <si>
    <t>http://item.kandianbao.com/520318339796/</t>
  </si>
  <si>
    <t>蓝色(一套)，单件上衣，单半身裙</t>
  </si>
  <si>
    <t>绣花，拼接，3D，印花</t>
  </si>
  <si>
    <t xml:space="preserve">质量好(51) ; 式样好(47) ; 穿上好看(34) ; 衣衣很舒服(26) ; 款式蛮好(26) ; 尺码很好(25) ; </t>
  </si>
  <si>
    <t>第 3 页 第 4 位</t>
  </si>
  <si>
    <t>毛菇小象 修身休闲连衣裙 2015夏季新款短袖中裙秋装大码女装裙子</t>
  </si>
  <si>
    <t>Q3827</t>
  </si>
  <si>
    <t>2天16时43分18秒</t>
  </si>
  <si>
    <t>http://item.taobao.com/item.htm?id=45702805708</t>
  </si>
  <si>
    <t>http://item.kandianbao.com/45702805708/</t>
  </si>
  <si>
    <t>2015年秋季</t>
  </si>
  <si>
    <t>第 3 页 第 5 位</t>
  </si>
  <si>
    <t>正品2015新款时尚夏季棉麻连衣裙两件套亚麻长裙气质修身女装裙子</t>
  </si>
  <si>
    <t>美茹衣橱</t>
  </si>
  <si>
    <t>2天23时53分27秒</t>
  </si>
  <si>
    <t>http://item.taobao.com/item.htm?id=520817830644</t>
  </si>
  <si>
    <t>http://item.kandianbao.com/520817830644/</t>
  </si>
  <si>
    <t>蝴蝶结，荷叶边，不对称，纽扣</t>
  </si>
  <si>
    <t xml:space="preserve">质量不错(49) ; 衣衣很舒服(31) ; 物流快(23) ; 款式很好(16) ; 版型好看(15) ; 穿上好看(13) ; </t>
  </si>
  <si>
    <t>第 3 页 第 6 位</t>
  </si>
  <si>
    <t>韩国2015夏季女装新款气质修身显瘦棉麻连衣裙长款不规则一步裙夏</t>
  </si>
  <si>
    <t>zsf0348</t>
  </si>
  <si>
    <t>zsf私人定制</t>
  </si>
  <si>
    <t>4天4时21分59秒</t>
  </si>
  <si>
    <t>http://item.taobao.com/item.htm?id=520460332917</t>
  </si>
  <si>
    <t>http://item.kandianbao.com/520460332917/</t>
  </si>
  <si>
    <t>姜黄色</t>
  </si>
  <si>
    <t>现货，S，M，L，XL，2XL</t>
  </si>
  <si>
    <t xml:space="preserve">整体不错(20) ; 很舒服(18) ; 板型很好(13) ; 穿着美(11) ; 态度不错(8) ; 款式漂亮(7) ; </t>
  </si>
  <si>
    <t>第 3 页 第 7 位</t>
  </si>
  <si>
    <t>克拉恋人唐嫣明星同款2015夏装新款短袖修身宽松中长款连衣裙女潮</t>
  </si>
  <si>
    <t>nani哈尼</t>
  </si>
  <si>
    <t>5天2时50分14秒</t>
  </si>
  <si>
    <t>http://item.taobao.com/item.htm?id=520844995820</t>
  </si>
  <si>
    <t>http://item.kandianbao.com/520844995820/</t>
  </si>
  <si>
    <t>图片色【优质版】</t>
  </si>
  <si>
    <t>活动促销原价55.8，S，M，L，XL，2XL</t>
  </si>
  <si>
    <t>蝴蝶结，链条</t>
  </si>
  <si>
    <t xml:space="preserve">质量好(35) ; 衣衣很舒服(16) ; 版式好(16) ; 和描述一致(16) ; 穿上好看(12) ; 服务不错(11) ; </t>
  </si>
  <si>
    <t>第 3 页 第 8 位</t>
  </si>
  <si>
    <t>雪纺连衣裙2015夏装大码女装裙子胖mm夏假两件遮肚子显瘦包臀短裙</t>
  </si>
  <si>
    <t>卖家承诺24小时内发货|10天退货，退货邮费买家承担|蚂蚁花呗|信用卡支付|集分宝|如实描述</t>
  </si>
  <si>
    <t>你是我d优乐美</t>
  </si>
  <si>
    <t>3天4时20分14秒</t>
  </si>
  <si>
    <t>http://item.taobao.com/item.htm?id=45590179480</t>
  </si>
  <si>
    <t>http://item.kandianbao.com/45590179480/</t>
  </si>
  <si>
    <t>黑色，粉红色</t>
  </si>
  <si>
    <t>蝴蝶结，露背，褶皱，系带，波浪</t>
  </si>
  <si>
    <t xml:space="preserve">宝贝很赞(523) ; 穿上好看(498) ; 版型好看(440) ; 衣衣很舒服(322) ; 款式好看(148) ; 衣服很合身(146) ; </t>
  </si>
  <si>
    <t>第 3 页 第 9 位</t>
  </si>
  <si>
    <t>气质仙长裙两件套2015夏薄款棉麻连衣裙女夏天亚麻裙子中长款A字</t>
  </si>
  <si>
    <t>蚊子女装商城批发</t>
  </si>
  <si>
    <t>3天2时50分14秒</t>
  </si>
  <si>
    <t>http://item.taobao.com/item.htm?id=520678217643</t>
  </si>
  <si>
    <t>http://item.kandianbao.com/520678217643/</t>
  </si>
  <si>
    <t>短袖蓝灰衫+白裙，短袖橘粉衫+白裙，短袖草绿衫+白裙，长袖蓝灰衫+白裙，长袖橘粉衫+白裙，长袖绿衫+白裙</t>
  </si>
  <si>
    <t>荷叶边，纽扣</t>
  </si>
  <si>
    <t xml:space="preserve">衣服很舒服(25) ; 整体不错(10) ; 式样好(10) ; 穿着效果好(9) ; 尺码很好(7) ; 划算(6) ; </t>
  </si>
  <si>
    <t>第 3 页 第 10 位</t>
  </si>
  <si>
    <t>2015韩版女装秋蕾丝连衣裙性感大码夜店露背吊带裙镂空公主裙夏女</t>
  </si>
  <si>
    <t>小美女e店</t>
  </si>
  <si>
    <t>1天3时50分14秒</t>
  </si>
  <si>
    <t>http://item.taobao.com/item.htm?id=520365996744</t>
  </si>
  <si>
    <t>http://item.kandianbao.com/520365996744/</t>
  </si>
  <si>
    <t>白色（高端正版），黑色（高端正版）</t>
  </si>
  <si>
    <t>镂空，露背，勾花镂空，拼接，波浪，纱网，蕾丝</t>
  </si>
  <si>
    <t xml:space="preserve">版型好看(136) ; 质量不错(99) ; 穿上好看(44) ; 服务不错(31) ; 衣服很合身(26) ; 不舒适(35) ; </t>
  </si>
  <si>
    <t>第 3 页 第 11 位</t>
  </si>
  <si>
    <t>欧洲站2015夏季新款韩版时尚修身印花连衣裙欧根纱高腰圆领蓬蓬裙</t>
  </si>
  <si>
    <t>麦小小2013</t>
  </si>
  <si>
    <t>6天5时53分53秒</t>
  </si>
  <si>
    <t>http://item.taobao.com/item.htm?id=520674767729</t>
  </si>
  <si>
    <t>http://item.kandianbao.com/520674767729/</t>
  </si>
  <si>
    <t>码数略微偏小，请咨询客服尺码，现货发售，S，M，L，XL，2XL</t>
  </si>
  <si>
    <t>拼接，拉链，印花</t>
  </si>
  <si>
    <t xml:space="preserve">质量蛮好(60) ; 外形好看(43) ; 穿着美(31) ; 码数很准(23) ; 很舒服(21) ; 做工很好(17) ; </t>
  </si>
  <si>
    <t>第 3 页 第 12 位</t>
  </si>
  <si>
    <t>韩版大码女装波西米亚沙滩吊带长裙子碎花松紧腰显瘦雪纺连衣裙夏</t>
  </si>
  <si>
    <t>雪儿韩衣坊</t>
  </si>
  <si>
    <t>5天2时30分14秒</t>
  </si>
  <si>
    <t>http://item.taobao.com/item.htm?id=45596800752</t>
  </si>
  <si>
    <t>http://item.kandianbao.com/45596800752/</t>
  </si>
  <si>
    <t>白色，米白色，黑色，蓝色</t>
  </si>
  <si>
    <t>M，L，XL</t>
  </si>
  <si>
    <t xml:space="preserve">版型好看(3515) ; 质量不错(3196) ; 穿上好看(1486) ; 衣衣很舒服(1455) ; 衣服很合身(747) ; 质量一般(162) ; </t>
  </si>
  <si>
    <t>第 3 页 第 13 位</t>
  </si>
  <si>
    <t>欧根纱套装夏连衣裙韩版学生两件套裙子猫咪印花学院风蓬蓬裙短裙</t>
  </si>
  <si>
    <t>菠萝美衣</t>
  </si>
  <si>
    <t>6天21时20分45秒</t>
  </si>
  <si>
    <t>http://item.taobao.com/item.htm?id=520686536946</t>
  </si>
  <si>
    <t>http://item.kandianbao.com/520686536946/</t>
  </si>
  <si>
    <t>黑衣+白裙，白衣+黑裙，白衣+白裙，黑衣+黑裙</t>
  </si>
  <si>
    <t>XS【限量加小码】，S【精致刺绣】，M【高档面料】，L【全国包邮】，XL【质量保证】，XXL【支持退换】</t>
  </si>
  <si>
    <t>动物图案</t>
  </si>
  <si>
    <t>贴布，拼接，立体装饰，纱网，拉链，3D，印花</t>
  </si>
  <si>
    <t>MS</t>
  </si>
  <si>
    <t xml:space="preserve">质量不错(29) ; 穿着漂亮(18) ; 版式好(16) ; 很舒适(14) ; 便宜(11) ; 尺码很准(11) ; </t>
  </si>
  <si>
    <t>第 3 页 第 14 位</t>
  </si>
  <si>
    <t>纯净的心情</t>
  </si>
  <si>
    <t>4天3时8分34秒</t>
  </si>
  <si>
    <t>http://item.taobao.com/item.htm?id=45371026699</t>
  </si>
  <si>
    <t>http://item.kandianbao.com/45371026699/</t>
  </si>
  <si>
    <t>竖条纹，圈圈蓝，蓝图腾，蓝底小碎花，方块绿，黄底圆圈，蓝底菱波，米底宝藏，米底花花，清新绿，珠珠条，猫咪，渔网黑，灰灰条，橘色花，彩虹条，方块灰，渔网白，脸谱，粉底宝藏，蓝花条</t>
  </si>
  <si>
    <t xml:space="preserve">衣服很舒服(1235) ; 衣服不错(801) ; 版型漂亮(651) ; 穿着效果好(536) ; 布料好(315) ; 颜色不行(87) ; </t>
  </si>
  <si>
    <t>第 3 页 第 15 位</t>
  </si>
  <si>
    <t>2015夏季新款 简约百搭白色磨破牛仔背带裙 连衣裙吊带裙女学生潮</t>
  </si>
  <si>
    <t>当学会</t>
  </si>
  <si>
    <t>5天2时34分36秒</t>
  </si>
  <si>
    <t>http://item.taobao.com/item.htm?id=45327332310</t>
  </si>
  <si>
    <t>http://item.kandianbao.com/45327332310/</t>
  </si>
  <si>
    <t>破洞，手工磨破，口袋，背带，纽扣</t>
  </si>
  <si>
    <t xml:space="preserve">质量不错(546) ; 版型好(280) ; 穿着漂亮(159) ; 料子不错(93) ; 尺寸很准(89) ; 尺码不对(61) ; </t>
  </si>
  <si>
    <t>第 3 页 第 16 位</t>
  </si>
  <si>
    <t>韩国镂空马甲外套套装+镂空纯色连衣裙宽松套头短裙女两件套TZ272</t>
  </si>
  <si>
    <t>TZ272</t>
  </si>
  <si>
    <t>3天15时59分53秒</t>
  </si>
  <si>
    <t>http://item.taobao.com/item.htm?id=520730131791</t>
  </si>
  <si>
    <t>http://item.kandianbao.com/520730131791/</t>
  </si>
  <si>
    <t>镂空</t>
  </si>
  <si>
    <t xml:space="preserve">穿着效果好(15) ; 整体不错(13) ; 衣服很舒服(13) ; 服务态度好(11) ; 做工很赞(10) ; 版式好(9) ; </t>
  </si>
  <si>
    <t>第 3 页 第 17 位</t>
  </si>
  <si>
    <t>欧洲站2015夏季女装真丝开衫两件套连衣裙波西米亚碎花吊带沙滩裙</t>
  </si>
  <si>
    <t>99HU0713</t>
  </si>
  <si>
    <t>7天无理由|蚂蚁花呗|集分宝|支付宝支付|如实描述</t>
  </si>
  <si>
    <t>玖玖狐</t>
  </si>
  <si>
    <t>http://item.taobao.com/item.htm?id=520624998800</t>
  </si>
  <si>
    <t>http://item.kandianbao.com/520624998800/</t>
  </si>
  <si>
    <t>红色，绿色</t>
  </si>
  <si>
    <t>S【度假必备】，M【独家设计】，L【高端定制】，XL【显瘦神器】，XXL【拒绝撞衫】，【定制10天发货】</t>
  </si>
  <si>
    <t>褶皱，不对称，印花</t>
  </si>
  <si>
    <t>蚕丝</t>
  </si>
  <si>
    <t xml:space="preserve">质量好(14) ; 衣衣很舒服(12) ; 外形好看(11) ; 穿上好看(8) ; 做工好(8) ; 没有色差(7) ; </t>
  </si>
  <si>
    <t>第 3 页 第 18 位</t>
  </si>
  <si>
    <t>【清仓】欧洲站波西米亚碎花绵绸长裙连衣裙人造棉无袖圆领大摆裙</t>
  </si>
  <si>
    <t>claudia19911224</t>
  </si>
  <si>
    <t>2天4时6分6秒</t>
  </si>
  <si>
    <t>http://item.taobao.com/item.htm?id=40025951298</t>
  </si>
  <si>
    <t>http://item.kandianbao.com/40025951298/</t>
  </si>
  <si>
    <t>图片色，收藏宝贝好评即刻返现</t>
  </si>
  <si>
    <t>S，M，L，XL，XXL，XXXL</t>
  </si>
  <si>
    <t>府绸</t>
  </si>
  <si>
    <t>松紧带，蝴蝶结，印花</t>
  </si>
  <si>
    <t xml:space="preserve">质量不错(62) ; 很舒适(46) ; 穿着漂亮(35) ; 外形好看(33) ; 划算(21) ; 做工不错(20) ; </t>
  </si>
  <si>
    <t>第 3 页 第 19 位</t>
  </si>
  <si>
    <t>2015夏装新款棉麻连衣裙套装森女宽松大码文艺两件套长裙亚麻女装</t>
  </si>
  <si>
    <t>会笑的眼睛lalala</t>
  </si>
  <si>
    <t>3天22时13分24秒</t>
  </si>
  <si>
    <t>http://item.taobao.com/item.htm?id=520696402934</t>
  </si>
  <si>
    <t>http://item.kandianbao.com/520696402934/</t>
  </si>
  <si>
    <t>绣红背心+藏青裙，藏青背心+绣红裙，白背心+藏青裙，白背心+墨绿裙</t>
  </si>
  <si>
    <t>均码，S，M，L，XL，2XL</t>
  </si>
  <si>
    <t>燕尾</t>
  </si>
  <si>
    <t xml:space="preserve">很便宜(42) ; 很舒适(41) ; 质量好(35) ; 料子不错(23) ; 版型好(20) ; 穿着漂亮(17) ; </t>
  </si>
  <si>
    <t>第 3 页 第 20 位</t>
  </si>
  <si>
    <t>明星同款2015秋装新款 欧美大牌气质挂脖孔雀翎毛打底连衣裙A字裙</t>
  </si>
  <si>
    <t>ww后会无期</t>
  </si>
  <si>
    <t>http://item.taobao.com/item.htm?id=520209455059</t>
  </si>
  <si>
    <t>http://item.kandianbao.com/520209455059/</t>
  </si>
  <si>
    <t>图色</t>
  </si>
  <si>
    <t>挂脖式</t>
  </si>
  <si>
    <t xml:space="preserve">衣服不错(72) ; 板型很好(60) ; 穿着效果好(31) ; 快递不错(22) ; 人群(20) ; 跟描述一致(19) ; </t>
  </si>
  <si>
    <t>第 3 页 第 21 位</t>
  </si>
  <si>
    <t>夏季甜美网纱裤裙+一字领蕾丝钉珠短袖上衣 女装两件套连衣裙套装</t>
  </si>
  <si>
    <t>咿呀呀韩装店</t>
  </si>
  <si>
    <t>1天5时5分14秒</t>
  </si>
  <si>
    <t>http://item.taobao.com/item.htm?id=45876465104</t>
  </si>
  <si>
    <t>http://item.kandianbao.com/45876465104/</t>
  </si>
  <si>
    <t>黑上衣，白上衣+黑裙，黑上衣+白裙，白上衣，黑上衣+黑裙，白上衣+白裙，白短裙，黑短裙</t>
  </si>
  <si>
    <t xml:space="preserve">版型好(322) ; 质量好(297) ; 穿上好看(127) ; 很便宜(103) ; 尺寸很准(56) ; 码数不合(26) ; </t>
  </si>
  <si>
    <t>第 3 页 第 22 位</t>
  </si>
  <si>
    <t>小黑裙2015夏季新款韩版修身显瘦无袖背心短裙雪纺A字连衣裙女装</t>
  </si>
  <si>
    <t>D1598</t>
  </si>
  <si>
    <t>靓雪蒂旗舰店</t>
  </si>
  <si>
    <t>4.8; 4.8; 4.9</t>
  </si>
  <si>
    <t>2天2时50分32秒</t>
  </si>
  <si>
    <t>http://item.taobao.com/item.htm?id=43567408687</t>
  </si>
  <si>
    <t>http://item.kandianbao.com/43567408687/</t>
  </si>
  <si>
    <t>白色，粉色，大红，薄荷绿，宝蓝，黑色</t>
  </si>
  <si>
    <t>褶皱，立体装饰，拉链</t>
  </si>
  <si>
    <t>靓雪蒂</t>
  </si>
  <si>
    <t xml:space="preserve">衣服不错(3047) ; 穿着效果好(3011) ; 版型漂亮(2519) ; 大小合适(1768) ; 衣服很舒服(1411) ; 质量不行(124) ; </t>
  </si>
  <si>
    <t>第 3 页 第 23 位</t>
  </si>
  <si>
    <t>欧洲站2015夏季女装新款真丝印花短袖套装裙两件套短裙连衣裙女潮</t>
  </si>
  <si>
    <t>拜金女_vip</t>
  </si>
  <si>
    <t>2分54秒</t>
  </si>
  <si>
    <t>http://item.taobao.com/item.htm?id=520214039677</t>
  </si>
  <si>
    <t>http://item.kandianbao.com/520214039677/</t>
  </si>
  <si>
    <t>真丝印花（套装）</t>
  </si>
  <si>
    <t xml:space="preserve">衣服不错(82) ; 式样好(62) ; 很舒服(41) ; 穿着美(33) ; 尺码很好(28) ; 如实描述(27) ; </t>
  </si>
  <si>
    <t>第 3 页 第 24 位</t>
  </si>
  <si>
    <t>2015夏季新款韩版甜美无袖字母印花T恤百搭时髦中长款A字型连衣裙</t>
  </si>
  <si>
    <t>W</t>
  </si>
  <si>
    <t>tb588405_2012</t>
  </si>
  <si>
    <t>4天1时51分26秒</t>
  </si>
  <si>
    <t>http://item.taobao.com/item.htm?id=520667405477</t>
  </si>
  <si>
    <t>http://item.kandianbao.com/520667405477/</t>
  </si>
  <si>
    <t xml:space="preserve">质量蛮好(45) ; 版式好(30) ; 很舒服(22) ; 很划算(22) ; 如实描述(15) ; 穿着美(14) ; </t>
  </si>
  <si>
    <t>第 3 页 第 25 位</t>
  </si>
  <si>
    <t>4天15时7分59秒</t>
  </si>
  <si>
    <t>http://item.taobao.com/item.htm?id=45244540252</t>
  </si>
  <si>
    <t>http://item.kandianbao.com/45244540252/</t>
  </si>
  <si>
    <t xml:space="preserve">宝贝很赞(1630) ; 版式好(1052) ; 穿上好看(767) ; 尺码很准(439) ; 衣衣很舒服(390) ; 颜色不行(259) ; </t>
  </si>
  <si>
    <t>第 3 页 第 26 位</t>
  </si>
  <si>
    <t>2015夏装新款女装碎花套装裙 欧洲站印花休闲两件套套装连衣裙女</t>
  </si>
  <si>
    <t>6天3时40分42秒</t>
  </si>
  <si>
    <t>http://item.taobao.com/item.htm?id=520318555660</t>
  </si>
  <si>
    <t>http://item.kandianbao.com/520318555660/</t>
  </si>
  <si>
    <t>白色（一套），单件上衣，单裙子</t>
  </si>
  <si>
    <t xml:space="preserve">宝贝很赞(163) ; 版型好(149) ; 衣衣很舒服(99) ; 穿上好看(68) ; 料子好(46) ; 尺寸很准(45) ; </t>
  </si>
  <si>
    <t>第 3 页 第 27 位</t>
  </si>
  <si>
    <t>雪纺连衣裙女夏装甜美立领碎花无袖印花显瘦修身波西米亚沙滩长裙</t>
  </si>
  <si>
    <t>质越女装</t>
  </si>
  <si>
    <t>6天4时20分13秒</t>
  </si>
  <si>
    <t>http://item.taobao.com/item.htm?id=520069772086</t>
  </si>
  <si>
    <t>http://item.kandianbao.com/520069772086/</t>
  </si>
  <si>
    <t>立领</t>
  </si>
  <si>
    <t xml:space="preserve">宝贝很赞(395) ; 外形好看(349) ; 很舒适(186) ; 穿着漂亮(182) ; 码数很准(110) ; 料子不错(84) ; </t>
  </si>
  <si>
    <t>第 3 页 第 28 位</t>
  </si>
  <si>
    <t>欧洲站2015夏装明星同款女装刺绣水溶蕾丝连衣裙中长款一字领中裙</t>
  </si>
  <si>
    <t>莫伟悠</t>
  </si>
  <si>
    <t>3天4时9分10秒</t>
  </si>
  <si>
    <t>http://item.taobao.com/item.htm?id=520388244035</t>
  </si>
  <si>
    <t>http://item.kandianbao.com/520388244035/</t>
  </si>
  <si>
    <t>白色，绿色</t>
  </si>
  <si>
    <t>镂空，手工磨破，褶皱，勾花镂空，波浪，乱针修补，蕾丝</t>
  </si>
  <si>
    <t xml:space="preserve">质量蛮好(54) ; 版式好(44) ; 穿着效果好(25) ; 颜色挺正(22) ; 服务态度好(21) ; 做工很赞(16) ; </t>
  </si>
  <si>
    <t>第 3 页 第 29 位</t>
  </si>
  <si>
    <t>MOMO韩版连衣裙女夏 2015新款女装欧洲站夏裙圆领格子中裙女裙子</t>
  </si>
  <si>
    <t>纠结的聪哥</t>
  </si>
  <si>
    <t>5天16时10分13秒</t>
  </si>
  <si>
    <t>http://item.taobao.com/item.htm?id=520450408333</t>
  </si>
  <si>
    <t>http://item.kandianbao.com/520450408333/</t>
  </si>
  <si>
    <t>灰色，粉红色</t>
  </si>
  <si>
    <t xml:space="preserve">衣服不错(17) ; 很舒服(10) ; 版式好(8) ; 穿着美(7) ; 态度不错(6) ; 面料好(5) ; </t>
  </si>
  <si>
    <t>第 3 页 第 30 位</t>
  </si>
  <si>
    <t>韩国代购夏季新款韩版甜美清新圆领短袖雪纺碎花修身显瘦连衣裙女</t>
  </si>
  <si>
    <t>WQ083</t>
  </si>
  <si>
    <t>红人楼阁</t>
  </si>
  <si>
    <t>4.9; 4.9; 4.8</t>
  </si>
  <si>
    <t>6天23时31分9秒</t>
  </si>
  <si>
    <t>http://item.taobao.com/item.htm?id=520070943551</t>
  </si>
  <si>
    <t>http://item.kandianbao.com/520070943551/</t>
  </si>
  <si>
    <t>绿色</t>
  </si>
  <si>
    <t>荷叶边，印花</t>
  </si>
  <si>
    <t xml:space="preserve">质量蛮好(1384) ; 版型漂亮(843) ; 衣服很舒服(838) ; 穿着效果好(837) ; 款式很潮(576) ; 大小合适(557) ; </t>
  </si>
  <si>
    <t>第 3 页 第 31 位</t>
  </si>
  <si>
    <t>夏季新款女装2015性感包臀ol气质优雅韩版包裙时尚名媛修身连衣裙</t>
  </si>
  <si>
    <t>相信我能2015</t>
  </si>
  <si>
    <t>3天21时41分14秒</t>
  </si>
  <si>
    <t>http://item.taobao.com/item.htm?id=520420942231</t>
  </si>
  <si>
    <t>http://item.kandianbao.com/520420942231/</t>
  </si>
  <si>
    <t>半高领</t>
  </si>
  <si>
    <t xml:space="preserve">衣服不错(81) ; 衣服很舒服(35) ; 服务态度好(33) ; 款式好(22) ; 穿着效果好(22) ; 版型好(21) ; </t>
  </si>
  <si>
    <t>第 3 页 第 32 位</t>
  </si>
  <si>
    <t>2015夏季新款女装修身雪纺连衣裙气质名媛小香风无袖衬衫公主裙秋</t>
  </si>
  <si>
    <t>宇恒正品</t>
  </si>
  <si>
    <t>6天22时16分44秒</t>
  </si>
  <si>
    <t>http://item.taobao.com/item.htm?id=520605832542</t>
  </si>
  <si>
    <t>http://item.kandianbao.com/520605832542/</t>
  </si>
  <si>
    <t>白色【长袖优质】，酒红【长袖优质】，深蓝【无袖优版】，蓝色【长袖优质】，桔色【长袖优质】，白色【无袖优质】</t>
  </si>
  <si>
    <t>纱网，纽扣，褶皱，拼接</t>
  </si>
  <si>
    <t xml:space="preserve">版型漂亮(52) ; 质量不错(43) ; 很划算(40) ; 很舒适(26) ; 物流快(24) ; 穿着漂亮(23) ; </t>
  </si>
  <si>
    <t>统计</t>
  </si>
  <si>
    <t>销售额=销量x价格（价格取值顺序：手机价、销售价、原价）</t>
  </si>
  <si>
    <t>总销售额：</t>
  </si>
  <si>
    <t>已经下架宝贝没包括</t>
  </si>
  <si>
    <t>小时</t>
    <phoneticPr fontId="1" type="noConversion"/>
  </si>
  <si>
    <t>行标签</t>
  </si>
  <si>
    <t>总计</t>
  </si>
  <si>
    <t>列标签</t>
  </si>
  <si>
    <t>求和项:30天销量</t>
  </si>
  <si>
    <t>单元格</t>
    <phoneticPr fontId="1" type="noConversion"/>
  </si>
  <si>
    <t>BD列（地区）</t>
    <phoneticPr fontId="1" type="noConversion"/>
  </si>
  <si>
    <t>BD1</t>
    <phoneticPr fontId="1" type="noConversion"/>
  </si>
  <si>
    <t>BD2</t>
  </si>
  <si>
    <t>BD3</t>
  </si>
  <si>
    <t>BD4</t>
  </si>
  <si>
    <t>BD5</t>
  </si>
  <si>
    <t>BD6</t>
  </si>
  <si>
    <t>BD7</t>
  </si>
  <si>
    <t>BD8</t>
  </si>
  <si>
    <t>BD9</t>
  </si>
  <si>
    <t>BD10</t>
  </si>
  <si>
    <t>BD11</t>
  </si>
  <si>
    <t>浙江杭州</t>
    <phoneticPr fontId="1" type="noConversion"/>
  </si>
  <si>
    <t>广东广州</t>
    <phoneticPr fontId="1" type="noConversion"/>
  </si>
  <si>
    <t>广东东莞</t>
    <phoneticPr fontId="1" type="noConversion"/>
  </si>
  <si>
    <t>广东中山</t>
    <phoneticPr fontId="1" type="noConversion"/>
  </si>
  <si>
    <t>江苏宿迁</t>
    <phoneticPr fontId="1" type="noConversion"/>
  </si>
  <si>
    <t>北京</t>
    <phoneticPr fontId="1" type="noConversion"/>
  </si>
  <si>
    <t>山东青岛</t>
    <phoneticPr fontId="1" type="noConversion"/>
  </si>
  <si>
    <t>江苏苏州</t>
    <phoneticPr fontId="1" type="noConversion"/>
  </si>
  <si>
    <t>广东深圳</t>
    <phoneticPr fontId="1" type="noConversion"/>
  </si>
  <si>
    <t>广东揭阳</t>
    <phoneticPr fontId="1" type="noConversion"/>
  </si>
  <si>
    <t>江苏徐州</t>
    <phoneticPr fontId="1" type="noConversion"/>
  </si>
  <si>
    <t>BD列（信誉）</t>
  </si>
  <si>
    <t>BE列（等级描述）</t>
  </si>
  <si>
    <t>老店-中等</t>
  </si>
  <si>
    <t>老店-中上</t>
  </si>
  <si>
    <t>老店-较高</t>
  </si>
  <si>
    <t>成熟店-入门</t>
  </si>
  <si>
    <t>成熟店-标准</t>
  </si>
  <si>
    <t>成熟店-较强</t>
  </si>
  <si>
    <t>成熟店-头部</t>
  </si>
  <si>
    <t>成熟店-顶级</t>
  </si>
  <si>
    <t>头部卖家-初</t>
  </si>
  <si>
    <t>头部卖家-中</t>
  </si>
  <si>
    <t>3金冠</t>
  </si>
  <si>
    <t>头部卖家-高</t>
  </si>
  <si>
    <t>头部卖家-顶</t>
  </si>
  <si>
    <t>杭州的商品</t>
    <phoneticPr fontId="1" type="noConversion"/>
  </si>
  <si>
    <t>短裙数量</t>
    <phoneticPr fontId="1" type="noConversion"/>
  </si>
  <si>
    <t>广州的短裙数量</t>
    <phoneticPr fontId="1" type="noConversion"/>
  </si>
  <si>
    <t>通勤风数量</t>
    <phoneticPr fontId="1" type="noConversion"/>
  </si>
  <si>
    <t>杭州的30天总销售额</t>
    <phoneticPr fontId="1" type="noConversion"/>
  </si>
  <si>
    <t>广州短裙的30天总销售额</t>
    <phoneticPr fontId="1" type="noConversion"/>
  </si>
  <si>
    <t>店铺信誉是"5冠"的30天总销量</t>
    <phoneticPr fontId="1" type="noConversion"/>
  </si>
  <si>
    <t>风格是"甜美"的总收藏量</t>
    <phoneticPr fontId="1" type="noConversion"/>
  </si>
  <si>
    <t>长裙的平均销售价</t>
    <phoneticPr fontId="1" type="noConversion"/>
  </si>
  <si>
    <t>(空白)</t>
  </si>
  <si>
    <t>计数项:30天销售额</t>
  </si>
  <si>
    <t>平均值项:销售价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</si>
</sst>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charset val="134"/>
      <scheme val="minor"/>
    </font>
    <font>
      <sz val="9"/>
      <name val="宋体"/>
      <family val="2"/>
      <charset val="134"/>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1">
    <xf numFmtId="0" fontId="0" fillId="0" borderId="0" xfId="0">
      <alignment vertical="center"/>
    </xf>
    <xf numFmtId="10" fontId="0" fillId="0" borderId="0" xfId="0" applyNumberFormat="1">
      <alignment vertical="center"/>
    </xf>
    <xf numFmtId="22" fontId="0" fillId="0" borderId="0" xfId="0" applyNumberFormat="1">
      <alignment vertical="center"/>
    </xf>
    <xf numFmtId="14" fontId="0" fillId="0" borderId="0" xfId="0" applyNumberFormat="1">
      <alignment vertical="center"/>
    </xf>
    <xf numFmtId="21" fontId="0" fillId="0" borderId="0" xfId="0" applyNumberFormat="1">
      <alignment vertical="center"/>
    </xf>
    <xf numFmtId="33" fontId="0" fillId="0" borderId="0" xfId="0" applyNumberFormat="1">
      <alignment vertical="center"/>
    </xf>
    <xf numFmtId="3" fontId="0" fillId="0" borderId="0" xfId="0" applyNumberFormat="1">
      <alignment vertical="center"/>
    </xf>
    <xf numFmtId="0" fontId="0" fillId="0" borderId="0" xfId="0" pivotButton="1">
      <alignment vertical="center"/>
    </xf>
    <xf numFmtId="0" fontId="0" fillId="0" borderId="0" xfId="0" applyAlignment="1">
      <alignment horizontal="left" vertical="center"/>
    </xf>
    <xf numFmtId="0" fontId="0" fillId="2" borderId="0" xfId="0" applyFill="1">
      <alignment vertical="center"/>
    </xf>
    <xf numFmtId="0" fontId="0" fillId="2" borderId="1" xfId="0" applyFill="1" applyBorder="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[上下架时间.xlsx]Sheet1!数据透视表1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CN" altLang="en-US" b="1" baseline="0">
                <a:solidFill>
                  <a:srgbClr val="FFC000"/>
                </a:solidFill>
              </a:rPr>
              <a:t>各地区</a:t>
            </a:r>
            <a:r>
              <a:rPr lang="en-US" altLang="zh-CN" b="1" baseline="0">
                <a:solidFill>
                  <a:srgbClr val="FFC000"/>
                </a:solidFill>
              </a:rPr>
              <a:t>30</a:t>
            </a:r>
            <a:r>
              <a:rPr lang="zh-CN" altLang="en-US" b="1" baseline="0">
                <a:solidFill>
                  <a:srgbClr val="FFC000"/>
                </a:solidFill>
              </a:rPr>
              <a:t>天连衣裙销售额对比</a:t>
            </a:r>
          </a:p>
        </c:rich>
      </c:tx>
      <c:layout>
        <c:manualLayout>
          <c:xMode val="edge"/>
          <c:yMode val="edge"/>
          <c:x val="0.2747360017497813"/>
          <c:y val="0.11934966462525518"/>
        </c:manualLayout>
      </c:layout>
      <c:overlay val="0"/>
      <c:spPr>
        <a:noFill/>
        <a:ln>
          <a:noFill/>
        </a:ln>
        <a:effectLst>
          <a:glow>
            <a:schemeClr val="accent2">
              <a:satMod val="175000"/>
              <a:alpha val="40000"/>
            </a:schemeClr>
          </a:glow>
          <a:outerShdw blurRad="50800" dist="38100" dir="5400000" algn="t"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Sheet1!$B$3</c:f>
              <c:strCache>
                <c:ptCount val="1"/>
                <c:pt idx="0">
                  <c:v>汇总</c:v>
                </c:pt>
              </c:strCache>
            </c:strRef>
          </c:tx>
          <c:spPr>
            <a:solidFill>
              <a:srgbClr val="FFC000"/>
            </a:solidFill>
            <a:ln>
              <a:noFill/>
            </a:ln>
            <a:effectLst/>
          </c:spPr>
          <c:invertIfNegative val="0"/>
          <c:cat>
            <c:strRef>
              <c:f>Sheet1!$A$4:$A$18</c:f>
              <c:strCache>
                <c:ptCount val="14"/>
                <c:pt idx="0">
                  <c:v>广东广州</c:v>
                </c:pt>
                <c:pt idx="1">
                  <c:v>浙江杭州</c:v>
                </c:pt>
                <c:pt idx="2">
                  <c:v>北京</c:v>
                </c:pt>
                <c:pt idx="3">
                  <c:v>江苏宿迁</c:v>
                </c:pt>
                <c:pt idx="4">
                  <c:v>广东深圳</c:v>
                </c:pt>
                <c:pt idx="5">
                  <c:v>广东中山</c:v>
                </c:pt>
                <c:pt idx="6">
                  <c:v>(空白)</c:v>
                </c:pt>
                <c:pt idx="7">
                  <c:v>所在地</c:v>
                </c:pt>
                <c:pt idx="8">
                  <c:v>山东青岛</c:v>
                </c:pt>
                <c:pt idx="9">
                  <c:v>江苏苏州</c:v>
                </c:pt>
                <c:pt idx="10">
                  <c:v>广东肇庆</c:v>
                </c:pt>
                <c:pt idx="11">
                  <c:v>广东东莞</c:v>
                </c:pt>
                <c:pt idx="12">
                  <c:v>广东揭阳</c:v>
                </c:pt>
                <c:pt idx="13">
                  <c:v>江苏徐州</c:v>
                </c:pt>
              </c:strCache>
            </c:strRef>
          </c:cat>
          <c:val>
            <c:numRef>
              <c:f>Sheet1!$B$4:$B$18</c:f>
              <c:numCache>
                <c:formatCode>General</c:formatCode>
                <c:ptCount val="14"/>
                <c:pt idx="0">
                  <c:v>67</c:v>
                </c:pt>
                <c:pt idx="1">
                  <c:v>39</c:v>
                </c:pt>
                <c:pt idx="2">
                  <c:v>5</c:v>
                </c:pt>
                <c:pt idx="3">
                  <c:v>3</c:v>
                </c:pt>
                <c:pt idx="4">
                  <c:v>2</c:v>
                </c:pt>
                <c:pt idx="5">
                  <c:v>2</c:v>
                </c:pt>
                <c:pt idx="6">
                  <c:v>1</c:v>
                </c:pt>
                <c:pt idx="7">
                  <c:v>1</c:v>
                </c:pt>
                <c:pt idx="8">
                  <c:v>1</c:v>
                </c:pt>
                <c:pt idx="9">
                  <c:v>1</c:v>
                </c:pt>
                <c:pt idx="10">
                  <c:v>1</c:v>
                </c:pt>
                <c:pt idx="11">
                  <c:v>1</c:v>
                </c:pt>
                <c:pt idx="12">
                  <c:v>1</c:v>
                </c:pt>
                <c:pt idx="13">
                  <c:v>1</c:v>
                </c:pt>
              </c:numCache>
            </c:numRef>
          </c:val>
          <c:extLst>
            <c:ext xmlns:c16="http://schemas.microsoft.com/office/drawing/2014/chart" uri="{C3380CC4-5D6E-409C-BE32-E72D297353CC}">
              <c16:uniqueId val="{00000000-D91C-48FE-8B57-BEE44F6D8888}"/>
            </c:ext>
          </c:extLst>
        </c:ser>
        <c:dLbls>
          <c:showLegendKey val="0"/>
          <c:showVal val="0"/>
          <c:showCatName val="0"/>
          <c:showSerName val="0"/>
          <c:showPercent val="0"/>
          <c:showBubbleSize val="0"/>
        </c:dLbls>
        <c:gapWidth val="108"/>
        <c:overlap val="100"/>
        <c:axId val="1211799344"/>
        <c:axId val="1850297744"/>
      </c:barChart>
      <c:catAx>
        <c:axId val="1211799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850297744"/>
        <c:crosses val="autoZero"/>
        <c:auto val="1"/>
        <c:lblAlgn val="ctr"/>
        <c:lblOffset val="100"/>
        <c:noMultiLvlLbl val="0"/>
      </c:catAx>
      <c:valAx>
        <c:axId val="1850297744"/>
        <c:scaling>
          <c:orientation val="minMax"/>
          <c:max val="7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211799344"/>
        <c:crosses val="autoZero"/>
        <c:crossBetween val="between"/>
        <c:majorUnit val="10"/>
        <c:minorUnit val="2"/>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[上下架时间.xlsx]Sheet2!数据透视表2</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CN" altLang="en-US" b="1">
                <a:solidFill>
                  <a:schemeClr val="tx1">
                    <a:lumMod val="95000"/>
                    <a:lumOff val="5000"/>
                  </a:schemeClr>
                </a:solidFill>
              </a:rPr>
              <a:t>不同裙长的平均价格</a:t>
            </a:r>
          </a:p>
        </c:rich>
      </c:tx>
      <c:layout>
        <c:manualLayout>
          <c:xMode val="edge"/>
          <c:yMode val="edge"/>
          <c:x val="0.40277777777777779"/>
          <c:y val="0.1332385535141440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计数项:30天销售额</c:v>
                </c:pt>
              </c:strCache>
            </c:strRef>
          </c:tx>
          <c:spPr>
            <a:ln w="28575" cap="rnd">
              <a:solidFill>
                <a:schemeClr val="accent1"/>
              </a:solidFill>
              <a:round/>
            </a:ln>
            <a:effectLst/>
          </c:spPr>
          <c:marker>
            <c:symbol val="none"/>
          </c:marker>
          <c:cat>
            <c:strRef>
              <c:f>Sheet2!$A$4:$A$10</c:f>
              <c:strCache>
                <c:ptCount val="6"/>
                <c:pt idx="0">
                  <c:v>短裙</c:v>
                </c:pt>
                <c:pt idx="1">
                  <c:v>裙长</c:v>
                </c:pt>
                <c:pt idx="2">
                  <c:v>长裙</c:v>
                </c:pt>
                <c:pt idx="3">
                  <c:v>中裙</c:v>
                </c:pt>
                <c:pt idx="4">
                  <c:v>中长裙</c:v>
                </c:pt>
                <c:pt idx="5">
                  <c:v>(空白)</c:v>
                </c:pt>
              </c:strCache>
            </c:strRef>
          </c:cat>
          <c:val>
            <c:numRef>
              <c:f>Sheet2!$B$4:$B$10</c:f>
              <c:numCache>
                <c:formatCode>General</c:formatCode>
                <c:ptCount val="6"/>
                <c:pt idx="0">
                  <c:v>47</c:v>
                </c:pt>
                <c:pt idx="1">
                  <c:v>1</c:v>
                </c:pt>
                <c:pt idx="2">
                  <c:v>24</c:v>
                </c:pt>
                <c:pt idx="3">
                  <c:v>26</c:v>
                </c:pt>
                <c:pt idx="4">
                  <c:v>27</c:v>
                </c:pt>
                <c:pt idx="5">
                  <c:v>1</c:v>
                </c:pt>
              </c:numCache>
            </c:numRef>
          </c:val>
          <c:smooth val="0"/>
          <c:extLst>
            <c:ext xmlns:c16="http://schemas.microsoft.com/office/drawing/2014/chart" uri="{C3380CC4-5D6E-409C-BE32-E72D297353CC}">
              <c16:uniqueId val="{00000000-FB88-4C45-A9D5-0CBFF9F1B30D}"/>
            </c:ext>
          </c:extLst>
        </c:ser>
        <c:ser>
          <c:idx val="1"/>
          <c:order val="1"/>
          <c:tx>
            <c:strRef>
              <c:f>Sheet2!$C$3</c:f>
              <c:strCache>
                <c:ptCount val="1"/>
                <c:pt idx="0">
                  <c:v>平均值项:销售价</c:v>
                </c:pt>
              </c:strCache>
            </c:strRef>
          </c:tx>
          <c:spPr>
            <a:ln w="28575" cap="rnd">
              <a:solidFill>
                <a:schemeClr val="accent2"/>
              </a:solidFill>
              <a:round/>
            </a:ln>
            <a:effectLst/>
          </c:spPr>
          <c:marker>
            <c:symbol val="none"/>
          </c:marker>
          <c:cat>
            <c:strRef>
              <c:f>Sheet2!$A$4:$A$10</c:f>
              <c:strCache>
                <c:ptCount val="6"/>
                <c:pt idx="0">
                  <c:v>短裙</c:v>
                </c:pt>
                <c:pt idx="1">
                  <c:v>裙长</c:v>
                </c:pt>
                <c:pt idx="2">
                  <c:v>长裙</c:v>
                </c:pt>
                <c:pt idx="3">
                  <c:v>中裙</c:v>
                </c:pt>
                <c:pt idx="4">
                  <c:v>中长裙</c:v>
                </c:pt>
                <c:pt idx="5">
                  <c:v>(空白)</c:v>
                </c:pt>
              </c:strCache>
            </c:strRef>
          </c:cat>
          <c:val>
            <c:numRef>
              <c:f>Sheet2!$C$4:$C$10</c:f>
              <c:numCache>
                <c:formatCode>General</c:formatCode>
                <c:ptCount val="6"/>
                <c:pt idx="0">
                  <c:v>53.477021276595757</c:v>
                </c:pt>
                <c:pt idx="1">
                  <c:v>#N/A</c:v>
                </c:pt>
                <c:pt idx="2">
                  <c:v>52.444583333333327</c:v>
                </c:pt>
                <c:pt idx="3">
                  <c:v>66.523461538461532</c:v>
                </c:pt>
                <c:pt idx="4">
                  <c:v>37.61851851851852</c:v>
                </c:pt>
              </c:numCache>
            </c:numRef>
          </c:val>
          <c:smooth val="0"/>
          <c:extLst>
            <c:ext xmlns:c16="http://schemas.microsoft.com/office/drawing/2014/chart" uri="{C3380CC4-5D6E-409C-BE32-E72D297353CC}">
              <c16:uniqueId val="{00000001-FB88-4C45-A9D5-0CBFF9F1B30D}"/>
            </c:ext>
          </c:extLst>
        </c:ser>
        <c:dLbls>
          <c:showLegendKey val="0"/>
          <c:showVal val="0"/>
          <c:showCatName val="0"/>
          <c:showSerName val="0"/>
          <c:showPercent val="0"/>
          <c:showBubbleSize val="0"/>
        </c:dLbls>
        <c:smooth val="0"/>
        <c:axId val="255319296"/>
        <c:axId val="1896974432"/>
      </c:lineChart>
      <c:catAx>
        <c:axId val="25531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896974432"/>
        <c:crosses val="autoZero"/>
        <c:auto val="1"/>
        <c:lblAlgn val="ctr"/>
        <c:lblOffset val="100"/>
        <c:noMultiLvlLbl val="0"/>
      </c:catAx>
      <c:valAx>
        <c:axId val="1896974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25531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396875</xdr:colOff>
      <xdr:row>1</xdr:row>
      <xdr:rowOff>76200</xdr:rowOff>
    </xdr:from>
    <xdr:to>
      <xdr:col>9</xdr:col>
      <xdr:colOff>158750</xdr:colOff>
      <xdr:row>24</xdr:row>
      <xdr:rowOff>50800</xdr:rowOff>
    </xdr:to>
    <xdr:graphicFrame macro="">
      <xdr:nvGraphicFramePr>
        <xdr:cNvPr id="2" name="图表 1">
          <a:extLst>
            <a:ext uri="{FF2B5EF4-FFF2-40B4-BE49-F238E27FC236}">
              <a16:creationId xmlns:a16="http://schemas.microsoft.com/office/drawing/2014/main" id="{F80ECDCF-5C15-86A3-C4A8-90B9C9C796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254289</xdr:colOff>
      <xdr:row>2</xdr:row>
      <xdr:rowOff>89189</xdr:rowOff>
    </xdr:from>
    <xdr:to>
      <xdr:col>11</xdr:col>
      <xdr:colOff>542926</xdr:colOff>
      <xdr:row>17</xdr:row>
      <xdr:rowOff>160771</xdr:rowOff>
    </xdr:to>
    <xdr:graphicFrame macro="">
      <xdr:nvGraphicFramePr>
        <xdr:cNvPr id="2" name="图表 1">
          <a:extLst>
            <a:ext uri="{FF2B5EF4-FFF2-40B4-BE49-F238E27FC236}">
              <a16:creationId xmlns:a16="http://schemas.microsoft.com/office/drawing/2014/main" id="{4197AB48-B9E3-C852-EE82-FB305E0EDB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241300</xdr:colOff>
      <xdr:row>1</xdr:row>
      <xdr:rowOff>127000</xdr:rowOff>
    </xdr:from>
    <xdr:to>
      <xdr:col>8</xdr:col>
      <xdr:colOff>247650</xdr:colOff>
      <xdr:row>14</xdr:row>
      <xdr:rowOff>149222</xdr:rowOff>
    </xdr:to>
    <mc:AlternateContent xmlns:mc="http://schemas.openxmlformats.org/markup-compatibility/2006" xmlns:a14="http://schemas.microsoft.com/office/drawing/2010/main">
      <mc:Choice Requires="a14">
        <xdr:graphicFrame macro="">
          <xdr:nvGraphicFramePr>
            <xdr:cNvPr id="2" name="裙长">
              <a:extLst>
                <a:ext uri="{FF2B5EF4-FFF2-40B4-BE49-F238E27FC236}">
                  <a16:creationId xmlns:a16="http://schemas.microsoft.com/office/drawing/2014/main" id="{3FE7A957-3A04-32A0-D7DA-6D671FE368E0}"/>
                </a:ext>
              </a:extLst>
            </xdr:cNvPr>
            <xdr:cNvGraphicFramePr/>
          </xdr:nvGraphicFramePr>
          <xdr:xfrm>
            <a:off x="0" y="0"/>
            <a:ext cx="0" cy="0"/>
          </xdr:xfrm>
          <a:graphic>
            <a:graphicData uri="http://schemas.microsoft.com/office/drawing/2010/slicer">
              <sle:slicer xmlns:sle="http://schemas.microsoft.com/office/drawing/2010/slicer" name="裙长"/>
            </a:graphicData>
          </a:graphic>
        </xdr:graphicFrame>
      </mc:Choice>
      <mc:Fallback xmlns="">
        <xdr:sp macro="" textlink="">
          <xdr:nvSpPr>
            <xdr:cNvPr id="0" name=""/>
            <xdr:cNvSpPr>
              <a:spLocks noTextEdit="1"/>
            </xdr:cNvSpPr>
          </xdr:nvSpPr>
          <xdr:spPr>
            <a:xfrm>
              <a:off x="3079750" y="304800"/>
              <a:ext cx="1828800" cy="2333622"/>
            </a:xfrm>
            <a:prstGeom prst="rect">
              <a:avLst/>
            </a:prstGeom>
            <a:solidFill>
              <a:prstClr val="white"/>
            </a:solidFill>
            <a:ln w="1">
              <a:solidFill>
                <a:prstClr val="green"/>
              </a:solidFill>
            </a:ln>
          </xdr:spPr>
          <xdr:txBody>
            <a:bodyPr vertOverflow="clip" horzOverflow="clip"/>
            <a:lstStyle/>
            <a:p>
              <a:r>
                <a:rPr lang="zh-CN" altLang="en-US" sz="1100"/>
                <a:t>此形状代表切片器。Excel 2010 或更高版本支持切片器。
如果形状是在较早版本的 Excel 中修改，或者工作簿是在 Excel 2003 或更早版本中保存，则无法使用切片器。</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零一" refreshedDate="42239.75988020833" createdVersion="5" refreshedVersion="5" minRefreshableVersion="3" recordCount="124" xr:uid="{00000000-000A-0000-FFFF-FFFF07000000}">
  <cacheSource type="worksheet">
    <worksheetSource ref="A1:AP125" sheet="处理后的数据"/>
  </cacheSource>
  <cacheFields count="42">
    <cacheField name="序号" numFmtId="0">
      <sharedItems containsSemiMixedTypes="0" containsString="0" containsNumber="1" containsInteger="1" minValue="1" maxValue="124"/>
    </cacheField>
    <cacheField name="排名位置" numFmtId="0">
      <sharedItems/>
    </cacheField>
    <cacheField name="宝贝名称：看店宝【kandianbao.com】" numFmtId="0">
      <sharedItems/>
    </cacheField>
    <cacheField name="货号" numFmtId="0">
      <sharedItems containsBlank="1" containsMixedTypes="1" containsNumber="1" containsInteger="1" minValue="0" maxValue="24234"/>
    </cacheField>
    <cacheField name="原价" numFmtId="0">
      <sharedItems containsSemiMixedTypes="0" containsString="0" containsNumber="1" minValue="24.98" maxValue="988"/>
    </cacheField>
    <cacheField name="折扣率" numFmtId="10">
      <sharedItems containsSemiMixedTypes="0" containsString="0" containsNumber="1" minValue="5.96E-2" maxValue="1"/>
    </cacheField>
    <cacheField name="销售价" numFmtId="0">
      <sharedItems containsSemiMixedTypes="0" containsString="0" containsNumber="1" minValue="15.74" maxValue="178"/>
    </cacheField>
    <cacheField name="手机价" numFmtId="0">
      <sharedItems containsSemiMixedTypes="0" containsString="0" containsNumber="1" minValue="15.74" maxValue="178"/>
    </cacheField>
    <cacheField name="库存" numFmtId="0">
      <sharedItems containsSemiMixedTypes="0" containsString="0" containsNumber="1" containsInteger="1" minValue="374" maxValue="25098869"/>
    </cacheField>
    <cacheField name="邮费" numFmtId="0">
      <sharedItems containsMixedTypes="1" containsNumber="1" containsInteger="1" minValue="5" maxValue="5"/>
    </cacheField>
    <cacheField name="30天收货" numFmtId="0">
      <sharedItems containsSemiMixedTypes="0" containsString="0" containsNumber="1" containsInteger="1" minValue="4041" maxValue="21808"/>
    </cacheField>
    <cacheField name="收货占比" numFmtId="10">
      <sharedItems containsSemiMixedTypes="0" containsString="0" containsNumber="1" minValue="4.7000000000000002E-3" maxValue="2.5499999999999998E-2"/>
    </cacheField>
    <cacheField name="30天销量" numFmtId="0">
      <sharedItems containsSemiMixedTypes="0" containsString="0" containsNumber="1" containsInteger="1" minValue="3749" maxValue="35057"/>
    </cacheField>
    <cacheField name="销量占比" numFmtId="10">
      <sharedItems containsSemiMixedTypes="0" containsString="0" containsNumber="1" minValue="3.3E-3" maxValue="3.09E-2"/>
    </cacheField>
    <cacheField name="30天销售额" numFmtId="0">
      <sharedItems containsSemiMixedTypes="0" containsString="0" containsNumber="1" minValue="92176" maxValue="4784887.8"/>
    </cacheField>
    <cacheField name="销售额占比" numFmtId="10">
      <sharedItems containsSemiMixedTypes="0" containsString="0" containsNumber="1" minValue="1.6999999999999999E-3" maxValue="8.6599999999999996E-2"/>
    </cacheField>
    <cacheField name="总收藏量" numFmtId="0">
      <sharedItems containsSemiMixedTypes="0" containsString="0" containsNumber="1" containsInteger="1" minValue="3386" maxValue="173404"/>
    </cacheField>
    <cacheField name="PC总浏览量" numFmtId="0">
      <sharedItems containsMixedTypes="1" containsNumber="1" containsInteger="1" minValue="12305" maxValue="1428767"/>
    </cacheField>
    <cacheField name="收藏比" numFmtId="0">
      <sharedItems containsMixedTypes="1" containsNumber="1" minValue="2.1499999999999998E-2" maxValue="3.6873"/>
    </cacheField>
    <cacheField name="总分享数" numFmtId="0">
      <sharedItems containsSemiMixedTypes="0" containsString="0" containsNumber="1" containsInteger="1" minValue="0" maxValue="2205"/>
    </cacheField>
    <cacheField name="总评价数" numFmtId="0">
      <sharedItems containsSemiMixedTypes="0" containsString="0" containsNumber="1" containsInteger="1" minValue="33" maxValue="38269"/>
    </cacheField>
    <cacheField name="宝贝促销" numFmtId="0">
      <sharedItems containsNonDate="0" containsString="0" containsBlank="1"/>
    </cacheField>
    <cacheField name="店铺促销" numFmtId="0">
      <sharedItems containsBlank="1" longText="1"/>
    </cacheField>
    <cacheField name="活动促销" numFmtId="0">
      <sharedItems containsNonDate="0" containsString="0" containsBlank="1"/>
    </cacheField>
    <cacheField name="服务保证" numFmtId="0">
      <sharedItems containsBlank="1"/>
    </cacheField>
    <cacheField name="所在地" numFmtId="0">
      <sharedItems/>
    </cacheField>
    <cacheField name="店铺掌柜" numFmtId="0">
      <sharedItems/>
    </cacheField>
    <cacheField name="开店日期" numFmtId="22">
      <sharedItems containsSemiMixedTypes="0" containsNonDate="0" containsDate="1" containsString="0" minDate="2007-02-27T21:26:16" maxDate="2015-07-01T17:39:43"/>
    </cacheField>
    <cacheField name="店铺信誉" numFmtId="0">
      <sharedItems/>
    </cacheField>
    <cacheField name="店铺dsr" numFmtId="0">
      <sharedItems/>
    </cacheField>
    <cacheField name="店铺收藏" numFmtId="0">
      <sharedItems containsSemiMixedTypes="0" containsString="0" containsNumber="1" containsInteger="1" minValue="711" maxValue="5888612"/>
    </cacheField>
    <cacheField name="店铺类型" numFmtId="0">
      <sharedItems/>
    </cacheField>
    <cacheField name="好评率" numFmtId="10">
      <sharedItems containsSemiMixedTypes="0" containsString="0" containsNumber="1" minValue="0.8931" maxValue="1"/>
    </cacheField>
    <cacheField name="一级类目" numFmtId="0">
      <sharedItems/>
    </cacheField>
    <cacheField name="二级类目" numFmtId="0">
      <sharedItems/>
    </cacheField>
    <cacheField name="三级类目" numFmtId="0">
      <sharedItems containsNonDate="0" containsString="0" containsBlank="1"/>
    </cacheField>
    <cacheField name="下架日期" numFmtId="14">
      <sharedItems containsSemiMixedTypes="0" containsNonDate="0" containsDate="1" containsString="0" minDate="2015-08-23T00:00:00" maxDate="2015-08-31T00:00:00"/>
    </cacheField>
    <cacheField name="下架时间" numFmtId="21">
      <sharedItems containsSemiMixedTypes="0" containsNonDate="0" containsDate="1" containsString="0" minDate="1899-12-30T00:03:39" maxDate="1899-12-30T23:27:59"/>
    </cacheField>
    <cacheField name="天数" numFmtId="0">
      <sharedItems containsDate="1" containsMixedTypes="1" minDate="1899-12-30T02:15:14" maxDate="1899-12-30T21:29:58"/>
    </cacheField>
    <cacheField name="星期" numFmtId="0">
      <sharedItems count="7">
        <s v="一"/>
        <s v="五"/>
        <s v="三"/>
        <s v="六"/>
        <s v="四"/>
        <s v="日"/>
        <s v="二"/>
      </sharedItems>
    </cacheField>
    <cacheField name="小时" numFmtId="0">
      <sharedItems containsSemiMixedTypes="0" containsString="0" containsNumber="1" containsInteger="1" minValue="0" maxValue="23" count="16">
        <n v="22"/>
        <n v="15"/>
        <n v="21"/>
        <n v="10"/>
        <n v="23"/>
        <n v="17"/>
        <n v="16"/>
        <n v="20"/>
        <n v="11"/>
        <n v="18"/>
        <n v="14"/>
        <n v="2"/>
        <n v="19"/>
        <n v="0"/>
        <n v="13"/>
        <n v="9"/>
      </sharedItems>
    </cacheField>
    <cacheField name="宝贝地址"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阿赘" refreshedDate="46143.733040509258" createdVersion="8" refreshedVersion="8" minRefreshableVersion="3" recordCount="126" xr:uid="{3D162A0C-E727-44E3-BC5A-66FD4A0DF244}">
  <cacheSource type="worksheet">
    <worksheetSource ref="A2:BR128" sheet="源数据"/>
  </cacheSource>
  <cacheFields count="70">
    <cacheField name="序号" numFmtId="0">
      <sharedItems containsMixedTypes="1" containsNumber="1" containsInteger="1" minValue="1" maxValue="124"/>
    </cacheField>
    <cacheField name="排名位置" numFmtId="0">
      <sharedItems containsBlank="1"/>
    </cacheField>
    <cacheField name="宝贝名称：看店宝【kandianbao.com】" numFmtId="0">
      <sharedItems/>
    </cacheField>
    <cacheField name="货号" numFmtId="0">
      <sharedItems containsBlank="1" containsMixedTypes="1" containsNumber="1" containsInteger="1" minValue="0" maxValue="24234"/>
    </cacheField>
    <cacheField name="原价" numFmtId="0">
      <sharedItems containsBlank="1" containsMixedTypes="1" containsNumber="1" minValue="24.98" maxValue="988"/>
    </cacheField>
    <cacheField name="折扣率" numFmtId="0">
      <sharedItems containsBlank="1" containsMixedTypes="1" containsNumber="1" minValue="5.96E-2" maxValue="1"/>
    </cacheField>
    <cacheField name="销售价" numFmtId="0">
      <sharedItems containsBlank="1" containsMixedTypes="1" containsNumber="1" minValue="15.74" maxValue="178"/>
    </cacheField>
    <cacheField name="手机价" numFmtId="0">
      <sharedItems containsBlank="1" containsMixedTypes="1" containsNumber="1" minValue="15.74" maxValue="178"/>
    </cacheField>
    <cacheField name="库存" numFmtId="0">
      <sharedItems containsMixedTypes="1" containsNumber="1" containsInteger="1" minValue="374" maxValue="38135579"/>
    </cacheField>
    <cacheField name="邮费" numFmtId="0">
      <sharedItems containsBlank="1" containsMixedTypes="1" containsNumber="1" containsInteger="1" minValue="5" maxValue="5"/>
    </cacheField>
    <cacheField name="30天收货" numFmtId="0">
      <sharedItems containsMixedTypes="1" containsNumber="1" containsInteger="1" minValue="4041" maxValue="856090"/>
    </cacheField>
    <cacheField name="收货占比" numFmtId="0">
      <sharedItems containsBlank="1" containsMixedTypes="1" containsNumber="1" minValue="4.7000000000000002E-3" maxValue="2.5499999999999998E-2"/>
    </cacheField>
    <cacheField name="30天销量" numFmtId="0">
      <sharedItems containsMixedTypes="1" containsNumber="1" containsInteger="1" minValue="3749" maxValue="1133871"/>
    </cacheField>
    <cacheField name="销量占比" numFmtId="0">
      <sharedItems containsBlank="1" containsMixedTypes="1" containsNumber="1" minValue="3.3E-3" maxValue="3.09E-2"/>
    </cacheField>
    <cacheField name="30天销售额" numFmtId="0">
      <sharedItems containsMixedTypes="1" containsNumber="1" minValue="92176" maxValue="55239276.920000002"/>
    </cacheField>
    <cacheField name="销售额占比" numFmtId="0">
      <sharedItems containsBlank="1" containsMixedTypes="1" containsNumber="1" minValue="1.6999999999999999E-3" maxValue="8.6599999999999996E-2"/>
    </cacheField>
    <cacheField name="总收藏量" numFmtId="0">
      <sharedItems containsMixedTypes="1" containsNumber="1" containsInteger="1" minValue="3386" maxValue="5304962"/>
    </cacheField>
    <cacheField name="PC总浏览量" numFmtId="0">
      <sharedItems containsMixedTypes="1" containsNumber="1" containsInteger="1" minValue="12305" maxValue="15147332"/>
    </cacheField>
    <cacheField name="收藏比" numFmtId="0">
      <sharedItems containsBlank="1" containsMixedTypes="1" containsNumber="1" minValue="2.1499999999999998E-2" maxValue="3.6873"/>
    </cacheField>
    <cacheField name="总分享数" numFmtId="0">
      <sharedItems containsMixedTypes="1" containsNumber="1" containsInteger="1" minValue="0" maxValue="5578"/>
    </cacheField>
    <cacheField name="总评价数" numFmtId="0">
      <sharedItems containsMixedTypes="1" containsNumber="1" containsInteger="1" minValue="33" maxValue="681643"/>
    </cacheField>
    <cacheField name="宝贝促销" numFmtId="0">
      <sharedItems containsBlank="1"/>
    </cacheField>
    <cacheField name="店铺促销" numFmtId="0">
      <sharedItems containsBlank="1" longText="1"/>
    </cacheField>
    <cacheField name="活动促销" numFmtId="0">
      <sharedItems containsBlank="1"/>
    </cacheField>
    <cacheField name="服务保证" numFmtId="0">
      <sharedItems containsBlank="1"/>
    </cacheField>
    <cacheField name="所在地" numFmtId="0">
      <sharedItems containsBlank="1" count="14">
        <s v="浙江杭州"/>
        <s v="广东东莞"/>
        <s v="广东中山"/>
        <s v="江苏宿迁"/>
        <s v="广东广州"/>
        <s v="北京"/>
        <s v="山东青岛"/>
        <s v="江苏苏州"/>
        <s v="广东揭阳"/>
        <s v="广东深圳"/>
        <s v="江苏徐州"/>
        <s v="广东肇庆"/>
        <s v="所在地"/>
        <m/>
      </sharedItems>
    </cacheField>
    <cacheField name="店铺掌柜" numFmtId="0">
      <sharedItems containsBlank="1"/>
    </cacheField>
    <cacheField name="开店日期" numFmtId="0">
      <sharedItems containsDate="1" containsBlank="1" containsMixedTypes="1" minDate="2007-02-27T21:26:16" maxDate="2015-07-01T17:39:43"/>
    </cacheField>
    <cacheField name="店铺信誉" numFmtId="0">
      <sharedItems containsBlank="1"/>
    </cacheField>
    <cacheField name="店铺dsr" numFmtId="0">
      <sharedItems containsBlank="1"/>
    </cacheField>
    <cacheField name="店铺收藏" numFmtId="0">
      <sharedItems containsBlank="1" containsMixedTypes="1" containsNumber="1" containsInteger="1" minValue="711" maxValue="5888612"/>
    </cacheField>
    <cacheField name="店铺类型" numFmtId="0">
      <sharedItems containsBlank="1"/>
    </cacheField>
    <cacheField name="好评率" numFmtId="0">
      <sharedItems containsBlank="1" containsMixedTypes="1" containsNumber="1" minValue="0.8931" maxValue="1"/>
    </cacheField>
    <cacheField name="一级类目" numFmtId="0">
      <sharedItems containsBlank="1"/>
    </cacheField>
    <cacheField name="二级类目" numFmtId="0">
      <sharedItems containsBlank="1"/>
    </cacheField>
    <cacheField name="三级类目" numFmtId="0">
      <sharedItems containsBlank="1"/>
    </cacheField>
    <cacheField name="下架日期" numFmtId="0">
      <sharedItems containsDate="1" containsBlank="1" containsMixedTypes="1" minDate="2015-08-23T00:00:00" maxDate="2015-08-31T00:00:00"/>
    </cacheField>
    <cacheField name="下架时间" numFmtId="0">
      <sharedItems containsDate="1" containsBlank="1" containsMixedTypes="1" minDate="1899-12-30T00:03:39" maxDate="1899-12-30T23:27:59"/>
    </cacheField>
    <cacheField name="天数" numFmtId="0">
      <sharedItems containsDate="1" containsBlank="1" containsMixedTypes="1" minDate="1899-12-30T02:15:14" maxDate="1899-12-30T21:29:58"/>
    </cacheField>
    <cacheField name="星期" numFmtId="0">
      <sharedItems containsBlank="1"/>
    </cacheField>
    <cacheField name="宝贝地址" numFmtId="0">
      <sharedItems containsBlank="1"/>
    </cacheField>
    <cacheField name="分析地址" numFmtId="0">
      <sharedItems containsBlank="1"/>
    </cacheField>
    <cacheField name="组合形式" numFmtId="0">
      <sharedItems containsBlank="1"/>
    </cacheField>
    <cacheField name="成分含量" numFmtId="0">
      <sharedItems containsBlank="1"/>
    </cacheField>
    <cacheField name="廓形" numFmtId="0">
      <sharedItems containsBlank="1"/>
    </cacheField>
    <cacheField name="领型" numFmtId="0">
      <sharedItems containsBlank="1"/>
    </cacheField>
    <cacheField name="衣门襟" numFmtId="0">
      <sharedItems containsBlank="1"/>
    </cacheField>
    <cacheField name="颜色分类" numFmtId="0">
      <sharedItems containsBlank="1" containsMixedTypes="1" containsNumber="1" containsInteger="1" minValue="820823821" maxValue="820823821"/>
    </cacheField>
    <cacheField name="通勤" numFmtId="0">
      <sharedItems containsBlank="1"/>
    </cacheField>
    <cacheField name="尺码" numFmtId="0">
      <sharedItems containsBlank="1"/>
    </cacheField>
    <cacheField name="图案" numFmtId="0">
      <sharedItems containsBlank="1"/>
    </cacheField>
    <cacheField name="裙长" numFmtId="0">
      <sharedItems containsBlank="1" count="6">
        <s v="中裙"/>
        <s v="中长裙"/>
        <s v="短裙"/>
        <s v="长裙"/>
        <s v="裙长"/>
        <m/>
      </sharedItems>
    </cacheField>
    <cacheField name="款式" numFmtId="0">
      <sharedItems containsBlank="1"/>
    </cacheField>
    <cacheField name="销售渠道类型" numFmtId="0">
      <sharedItems containsBlank="1"/>
    </cacheField>
    <cacheField name="面料" numFmtId="0">
      <sharedItems containsBlank="1"/>
    </cacheField>
    <cacheField name="流行元素/工艺" numFmtId="0">
      <sharedItems containsBlank="1"/>
    </cacheField>
    <cacheField name="货号2" numFmtId="0">
      <sharedItems containsBlank="1" containsMixedTypes="1" containsNumber="1" containsInteger="1" minValue="0" maxValue="24234"/>
    </cacheField>
    <cacheField name="裙型" numFmtId="0">
      <sharedItems containsBlank="1"/>
    </cacheField>
    <cacheField name="年份季节" numFmtId="0">
      <sharedItems containsBlank="1"/>
    </cacheField>
    <cacheField name="材质成分" numFmtId="0">
      <sharedItems containsBlank="1"/>
    </cacheField>
    <cacheField name="袖型" numFmtId="0">
      <sharedItems containsBlank="1"/>
    </cacheField>
    <cacheField name="品牌" numFmtId="0">
      <sharedItems containsBlank="1"/>
    </cacheField>
    <cacheField name="风格" numFmtId="0">
      <sharedItems containsBlank="1"/>
    </cacheField>
    <cacheField name="甜美" numFmtId="0">
      <sharedItems containsBlank="1"/>
    </cacheField>
    <cacheField name="腰型" numFmtId="0">
      <sharedItems containsBlank="1"/>
    </cacheField>
    <cacheField name="材质" numFmtId="0">
      <sharedItems containsBlank="1"/>
    </cacheField>
    <cacheField name="街头" numFmtId="0">
      <sharedItems containsBlank="1"/>
    </cacheField>
    <cacheField name="适用年龄" numFmtId="0">
      <sharedItems containsBlank="1"/>
    </cacheField>
    <cacheField name="袖长" numFmtId="0">
      <sharedItems containsBlank="1"/>
    </cacheField>
    <cacheField name="评价标签" numFmtId="0">
      <sharedItems containsBlank="1"/>
    </cacheField>
  </cacheFields>
  <extLst>
    <ext xmlns:x14="http://schemas.microsoft.com/office/spreadsheetml/2009/9/main" uri="{725AE2AE-9491-48be-B2B4-4EB974FC3084}">
      <x14:pivotCacheDefinition pivotCacheId="1533073974"/>
    </ext>
  </extLst>
</pivotCacheDefinition>
</file>

<file path=xl/pivotCache/pivotCacheRecords1.xml><?xml version="1.0" encoding="utf-8"?>
<pivotCacheRecords xmlns="http://schemas.openxmlformats.org/spreadsheetml/2006/main" xmlns:r="http://schemas.openxmlformats.org/officeDocument/2006/relationships" count="124">
  <r>
    <n v="1"/>
    <s v="第 1 页 第 1 位"/>
    <s v="2015夏季新款韩版通勤女装圆领短袖气质修身ol连衣裙女中裙淑女裙"/>
    <m/>
    <n v="468"/>
    <n v="0.3342"/>
    <n v="156.41999999999999"/>
    <n v="156.41999999999999"/>
    <n v="8011"/>
    <s v="包邮"/>
    <n v="21808"/>
    <n v="2.5499999999999998E-2"/>
    <n v="30590"/>
    <n v="2.7E-2"/>
    <n v="4784887.8"/>
    <n v="8.6599999999999996E-2"/>
    <n v="173404"/>
    <n v="649367"/>
    <n v="0.26700000000000002"/>
    <n v="21"/>
    <n v="3096"/>
    <m/>
    <m/>
    <m/>
    <s v="8天退货，退货邮费买家承担|蚂蚁花呗|信用卡支付|集分宝|如实描述"/>
    <s v="浙江杭州"/>
    <s v="悠然1149"/>
    <d v="2014-11-10T20:12:10"/>
    <s v="2冠"/>
    <s v="4.8; 4.8; 4.8"/>
    <n v="36209"/>
    <s v="淘宝"/>
    <n v="0.98460000000000003"/>
    <s v="女装/女士精品 "/>
    <s v=" 连衣裙"/>
    <m/>
    <d v="2015-08-24T00:00:00"/>
    <d v="1899-12-30T22:05:00"/>
    <s v="1天3时55分15秒"/>
    <x v="0"/>
    <x v="0"/>
    <s v="http://item.taobao.com/item.htm?id=520635131814"/>
  </r>
  <r>
    <n v="2"/>
    <s v="第 1 页 第 2 位"/>
    <s v="夏季连衣裙大码女装背心裙中长款包臀长裙内搭打底衫OL修身吊带裙"/>
    <s v="6013-"/>
    <n v="104"/>
    <n v="0.1827"/>
    <n v="19"/>
    <n v="19"/>
    <n v="65359"/>
    <s v="包邮"/>
    <n v="21031"/>
    <n v="2.46E-2"/>
    <n v="35057"/>
    <n v="3.09E-2"/>
    <n v="666083"/>
    <n v="1.21E-2"/>
    <n v="48530"/>
    <n v="60393"/>
    <n v="0.80359999999999998"/>
    <n v="9"/>
    <n v="3435"/>
    <m/>
    <m/>
    <m/>
    <s v="7天无理由|蚂蚁花呗|信用卡支付|集分宝|如实描述"/>
    <s v="广东东莞"/>
    <s v="物美价廉yy8"/>
    <d v="2014-03-07T13:11:44"/>
    <s v="1冠"/>
    <s v="4.6; 4.6; 4.5"/>
    <n v="2754"/>
    <s v="淘宝"/>
    <n v="0.98170000000000002"/>
    <s v="女装/女士精品 "/>
    <s v=" 连衣裙"/>
    <m/>
    <d v="2015-08-28T00:00:00"/>
    <d v="1899-12-30T15:20:00"/>
    <s v="4天21时10分15秒"/>
    <x v="1"/>
    <x v="1"/>
    <s v="http://item.taobao.com/item.htm?id=45418797934"/>
  </r>
  <r>
    <n v="3"/>
    <s v="第 1 页 第 3 位"/>
    <s v="2015夏天新款显瘦牛仔背带裙连衣裙女装夏季潮学生牛仔背心短裙子"/>
    <m/>
    <n v="192"/>
    <n v="0.1198"/>
    <n v="23"/>
    <n v="23"/>
    <n v="945466"/>
    <s v="包邮"/>
    <n v="20824"/>
    <n v="2.4299999999999999E-2"/>
    <n v="25429"/>
    <n v="2.24E-2"/>
    <n v="584867"/>
    <n v="1.06E-2"/>
    <n v="85198"/>
    <n v="199658"/>
    <n v="0.42670000000000002"/>
    <n v="19"/>
    <n v="15799"/>
    <m/>
    <m/>
    <m/>
    <s v="卖家承诺72小时内发货|8天退货，退货邮费买家承担|蚂蚁花呗|信用卡支付|集分宝|如实描述"/>
    <s v="广东中山"/>
    <s v="韩国专柜女装"/>
    <d v="2014-02-11T23:52:03"/>
    <s v="2冠"/>
    <s v="4.6; 4.6; 4.5"/>
    <n v="4594"/>
    <s v="淘宝"/>
    <n v="0.9637"/>
    <s v="女装/女士精品 "/>
    <s v=" 连衣裙"/>
    <m/>
    <d v="2015-08-26T00:00:00"/>
    <d v="1899-12-30T21:39:17"/>
    <s v="3天3时29分32秒"/>
    <x v="2"/>
    <x v="2"/>
    <s v="http://item.taobao.com/item.htm?id=45428232575"/>
  </r>
  <r>
    <n v="4"/>
    <s v="第 1 页 第 4 位"/>
    <s v="彩黛妃2015新款春夏季大码女装性感修身短袖镂空衣领连衣裙韩版潮"/>
    <s v="C0070"/>
    <n v="128"/>
    <n v="0.1547"/>
    <n v="19.8"/>
    <n v="19.8"/>
    <n v="733657"/>
    <s v="包邮"/>
    <n v="17668"/>
    <n v="2.06E-2"/>
    <n v="22725"/>
    <n v="0.02"/>
    <n v="449955"/>
    <n v="8.0999999999999996E-3"/>
    <n v="105162"/>
    <s v="-"/>
    <s v="-"/>
    <n v="179"/>
    <n v="38269"/>
    <m/>
    <m/>
    <m/>
    <m/>
    <s v="江苏宿迁"/>
    <s v="彩黛妃旗舰店"/>
    <d v="2014-03-25T10:48:46"/>
    <s v="1金冠"/>
    <s v="4.6; 4.6; 4.8"/>
    <n v="308260"/>
    <s v="天猫"/>
    <n v="1"/>
    <s v="女装/女士精品 "/>
    <s v=" 连衣裙"/>
    <m/>
    <d v="2015-08-29T00:00:00"/>
    <d v="1899-12-30T10:16:22"/>
    <s v="5天16时6分37秒"/>
    <x v="3"/>
    <x v="3"/>
    <s v="http://item.taobao.com/item.htm?id=43944007169"/>
  </r>
  <r>
    <n v="5"/>
    <s v="第 1 页 第 5 位"/>
    <s v="凤凤服饰2015夏装新款连衣裙夏裙纯色韩版宽松无袖显瘦遮住小肚腩"/>
    <n v="99"/>
    <n v="299"/>
    <n v="9.9000000000000005E-2"/>
    <n v="29.6"/>
    <n v="29.6"/>
    <n v="20259"/>
    <s v="包邮"/>
    <n v="17586"/>
    <n v="2.0500000000000001E-2"/>
    <n v="18265"/>
    <n v="1.61E-2"/>
    <n v="540644"/>
    <n v="9.7999999999999997E-3"/>
    <n v="26748"/>
    <n v="87202"/>
    <n v="0.30669999999999997"/>
    <n v="2"/>
    <n v="6214"/>
    <m/>
    <m/>
    <m/>
    <s v="7天无理由|蚂蚁花呗|信用卡支付|集分宝|如实描述"/>
    <s v="广东广州"/>
    <s v="ff2012888"/>
    <d v="2012-03-22T12:48:43"/>
    <s v="2冠"/>
    <s v="4.0; 4.1; 4.0"/>
    <n v="3680"/>
    <s v="淘宝"/>
    <n v="0.8931"/>
    <s v="女装/女士精品 "/>
    <s v=" 连衣裙"/>
    <m/>
    <d v="2015-08-27T00:00:00"/>
    <d v="1899-12-30T23:12:10"/>
    <s v="4天5时2分25秒"/>
    <x v="4"/>
    <x v="4"/>
    <s v="http://item.taobao.com/item.htm?id=520565996333"/>
  </r>
  <r>
    <n v="6"/>
    <s v="第 1 页 第 6 位"/>
    <s v="2015夏装新款中老年女装印花连衣裙夏季大码修身中年妈妈装碎花裙"/>
    <n v="136"/>
    <n v="88"/>
    <n v="0.1789"/>
    <n v="15.74"/>
    <n v="15.74"/>
    <n v="5830"/>
    <s v="包邮"/>
    <n v="16114"/>
    <n v="1.8800000000000001E-2"/>
    <n v="31284"/>
    <n v="2.76E-2"/>
    <n v="492410.16"/>
    <n v="8.8999999999999999E-3"/>
    <n v="35684"/>
    <n v="763048"/>
    <n v="4.6800000000000001E-2"/>
    <n v="277"/>
    <n v="25728"/>
    <m/>
    <m/>
    <m/>
    <s v="卖家承诺72小时内发货|7天无理由|蚂蚁花呗|信用卡支付|集分宝|如实描述"/>
    <s v="北京"/>
    <s v="酷奇宝贝stb"/>
    <d v="2010-09-02T20:37:06"/>
    <s v="4冠"/>
    <s v="4.7; 4.7; 4.7"/>
    <n v="13776"/>
    <s v="淘宝"/>
    <n v="0.97340000000000004"/>
    <s v="女装/女士精品 "/>
    <s v=" 连衣裙"/>
    <m/>
    <d v="2015-08-23T00:00:00"/>
    <d v="1899-12-30T21:58:07"/>
    <d v="1899-12-30T03:48:22"/>
    <x v="5"/>
    <x v="2"/>
    <s v="http://item.taobao.com/item.htm?id=24393792120"/>
  </r>
  <r>
    <n v="7"/>
    <s v="第 1 页 第 7 位"/>
    <s v="韩国2015春夏季新款女装高腰两件套连衣裙 夏装蓬蓬a字裙短袖套装"/>
    <m/>
    <n v="109"/>
    <n v="0.2661"/>
    <n v="29"/>
    <n v="29"/>
    <n v="1470592"/>
    <s v="包邮"/>
    <n v="14988"/>
    <n v="1.7500000000000002E-2"/>
    <n v="25069"/>
    <n v="2.2100000000000002E-2"/>
    <n v="727001"/>
    <n v="1.32E-2"/>
    <n v="62724"/>
    <n v="55138"/>
    <n v="1.1375999999999999"/>
    <n v="2"/>
    <n v="770"/>
    <m/>
    <m/>
    <m/>
    <s v="卖家承诺20小时内发货|7天无理由|集分宝|支付宝支付|如实描述"/>
    <s v="广东广州"/>
    <s v="人生朱1448200051"/>
    <d v="2015-06-28T20:31:36"/>
    <s v="3钻"/>
    <s v="4.4; 4.4; 4.2"/>
    <n v="8594"/>
    <s v="淘宝"/>
    <n v="0.9627"/>
    <s v="女装/女士精品 "/>
    <s v=" 连衣裙"/>
    <m/>
    <d v="2015-08-23T00:00:00"/>
    <d v="1899-12-30T21:15:47"/>
    <d v="1899-12-30T03:06:02"/>
    <x v="5"/>
    <x v="2"/>
    <s v="http://item.taobao.com/item.htm?id=520347387757"/>
  </r>
  <r>
    <n v="8"/>
    <s v="第 1 页 第 8 位"/>
    <s v="2015夏季新品女装 韩版可爱卡通米奇印花开叉中长款短袖T恤连衣裙"/>
    <m/>
    <n v="89"/>
    <n v="0.20219999999999999"/>
    <n v="18"/>
    <n v="18"/>
    <n v="2489091"/>
    <s v="包邮"/>
    <n v="13841"/>
    <n v="1.6199999999999999E-2"/>
    <n v="18282"/>
    <n v="1.61E-2"/>
    <n v="329076"/>
    <n v="6.0000000000000001E-3"/>
    <n v="38864"/>
    <n v="29307"/>
    <n v="1.3261000000000001"/>
    <n v="2"/>
    <n v="5834"/>
    <m/>
    <m/>
    <m/>
    <s v="7天无理由|蚂蚁花呗|信用卡支付|集分宝|如实描述"/>
    <s v="广东广州"/>
    <s v="韩衣馆shop"/>
    <d v="2013-10-24T13:21:55"/>
    <s v="3冠"/>
    <s v="4.7; 4.7; 4.7"/>
    <n v="10680"/>
    <s v="淘宝"/>
    <n v="0.97489999999999999"/>
    <s v="女装/女士精品 "/>
    <s v=" 连衣裙"/>
    <m/>
    <d v="2015-08-24T00:00:00"/>
    <d v="1899-12-30T15:39:43"/>
    <d v="1899-12-30T21:29:58"/>
    <x v="0"/>
    <x v="1"/>
    <s v="http://item.taobao.com/item.htm?id=520221451671"/>
  </r>
  <r>
    <n v="9"/>
    <s v="第 1 页 第 9 位"/>
    <s v="2015夏装新款套装甜美两件套女装裙子 欧洲站夏季短裙雪纺连衣裙"/>
    <m/>
    <n v="118"/>
    <n v="0.32200000000000001"/>
    <n v="38"/>
    <n v="38"/>
    <n v="12720"/>
    <s v="包邮"/>
    <n v="12729"/>
    <n v="1.49E-2"/>
    <n v="14498"/>
    <n v="1.2800000000000001E-2"/>
    <n v="550924"/>
    <n v="0.01"/>
    <n v="111246"/>
    <n v="654964"/>
    <n v="0.1699"/>
    <n v="68"/>
    <n v="15242"/>
    <m/>
    <m/>
    <m/>
    <s v="卖家承诺72小时内发货|8天退货，退货邮费买家承担|蚂蚁花呗|信用卡支付|集分宝|如实描述"/>
    <s v="广东广州"/>
    <s v="wanwalkerman"/>
    <d v="2012-07-22T11:34:23"/>
    <s v="5冠"/>
    <s v="4.7; 4.7; 4.6"/>
    <n v="139674"/>
    <s v="淘宝"/>
    <n v="0.9849"/>
    <s v="女装/女士精品 "/>
    <s v=" 连衣裙"/>
    <m/>
    <d v="2015-08-23T00:00:00"/>
    <d v="1899-12-30T23:02:11"/>
    <d v="1899-12-30T04:52:26"/>
    <x v="5"/>
    <x v="4"/>
    <s v="http://item.taobao.com/item.htm?id=45756314177"/>
  </r>
  <r>
    <n v="10"/>
    <s v="第 1 页 第 10 位"/>
    <s v="2015夏装新款韩版连衣裙背心裙修身高腰条纹小香风打底裙蓬蓬裙潮"/>
    <n v="0"/>
    <n v="64"/>
    <n v="0.3594"/>
    <n v="23"/>
    <n v="23"/>
    <n v="1554"/>
    <s v="包邮"/>
    <n v="12668"/>
    <n v="1.4800000000000001E-2"/>
    <n v="15400"/>
    <n v="1.3599999999999999E-2"/>
    <n v="354200"/>
    <n v="6.4000000000000003E-3"/>
    <n v="41830"/>
    <n v="104826"/>
    <n v="0.39900000000000002"/>
    <n v="5"/>
    <n v="2857"/>
    <m/>
    <m/>
    <m/>
    <s v="8天退货，退货邮费买家承担|蚂蚁花呗|信用卡支付|集分宝|如实描述"/>
    <s v="广东广州"/>
    <s v="美丽呼吸韩版女装"/>
    <d v="2014-11-02T19:31:59"/>
    <s v="1冠"/>
    <s v="4.7; 4.7; 4.6"/>
    <n v="3932"/>
    <s v="淘宝"/>
    <n v="0.98019999999999996"/>
    <s v="女装/女士精品 "/>
    <s v=" 连衣裙"/>
    <m/>
    <d v="2015-08-25T00:00:00"/>
    <d v="1899-12-30T22:00:49"/>
    <s v="2天3时51分4秒"/>
    <x v="6"/>
    <x v="0"/>
    <s v="http://item.taobao.com/item.htm?id=520487212484"/>
  </r>
  <r>
    <n v="11"/>
    <s v="第 1 页 第 11 位"/>
    <s v="2015新雪纺连衣裙大码女装夏装淑女超长款裙子显瘦气质连衣长裙夏"/>
    <s v="QDY15B4018"/>
    <n v="103"/>
    <n v="0.56310000000000004"/>
    <n v="58"/>
    <n v="58"/>
    <n v="4545"/>
    <s v="包邮"/>
    <n v="11097"/>
    <n v="1.2999999999999999E-2"/>
    <n v="13899"/>
    <n v="1.23E-2"/>
    <n v="806142"/>
    <n v="1.46E-2"/>
    <n v="71664"/>
    <s v="-"/>
    <s v="-"/>
    <n v="20"/>
    <n v="18384"/>
    <m/>
    <m/>
    <m/>
    <m/>
    <s v="广东广州"/>
    <s v="迪悠旗舰店"/>
    <d v="2013-07-23T17:25:16"/>
    <s v="4冠"/>
    <s v="4.8; 4.8; 4.8"/>
    <n v="51366"/>
    <s v="天猫"/>
    <n v="1"/>
    <s v="女装/女士精品 "/>
    <s v=" 连衣裙"/>
    <m/>
    <d v="2015-08-26T00:00:00"/>
    <d v="1899-12-30T17:20:08"/>
    <s v="2天23时10分23秒"/>
    <x v="2"/>
    <x v="5"/>
    <s v="http://item.taobao.com/item.htm?id=45728286943"/>
  </r>
  <r>
    <n v="12"/>
    <s v="第 1 页 第 12 位"/>
    <s v="韩国代购2015夏季新款女装纯棉麻短袖衬衫裙中长款甜美连衣裙子"/>
    <s v="WQ057"/>
    <n v="428"/>
    <n v="7.51E-2"/>
    <n v="32.14"/>
    <n v="32.14"/>
    <n v="10597"/>
    <s v="包邮"/>
    <n v="10980"/>
    <n v="1.2800000000000001E-2"/>
    <n v="11642"/>
    <n v="1.03E-2"/>
    <n v="374173.88"/>
    <n v="6.7999999999999996E-3"/>
    <n v="49080"/>
    <n v="58539"/>
    <n v="0.83840000000000003"/>
    <n v="3"/>
    <n v="4712"/>
    <m/>
    <m/>
    <m/>
    <s v="7天无理由|蚂蚁花呗|信用卡支付|集分宝|如实描述"/>
    <s v="浙江杭州"/>
    <s v="普拉达8606"/>
    <d v="2010-06-27T01:35:32"/>
    <s v="1冠"/>
    <s v="4.7; 4.7; 4.6"/>
    <n v="2128"/>
    <s v="淘宝"/>
    <n v="0.94799999999999995"/>
    <s v="女装/女士精品 "/>
    <s v=" 连衣裙"/>
    <m/>
    <d v="2015-08-25T00:00:00"/>
    <d v="1899-12-30T21:00:13"/>
    <s v="2天2时50分28秒"/>
    <x v="6"/>
    <x v="2"/>
    <s v="http://item.taobao.com/item.htm?id=520178820639"/>
  </r>
  <r>
    <n v="13"/>
    <s v="第 1 页 第 13 位"/>
    <s v="2015夏装女装长裙子夏季中长款拼接修身大码优雅印花雪纺连衣裙女"/>
    <s v="2YF001-1213"/>
    <n v="498"/>
    <n v="5.96E-2"/>
    <n v="29.7"/>
    <n v="29.7"/>
    <n v="102289"/>
    <n v="5"/>
    <n v="10964"/>
    <n v="1.2800000000000001E-2"/>
    <n v="14074"/>
    <n v="1.24E-2"/>
    <n v="417997.8"/>
    <n v="7.6E-3"/>
    <n v="54144"/>
    <s v="-"/>
    <s v="-"/>
    <n v="10"/>
    <n v="10971"/>
    <m/>
    <s v="满3件，享包邮，送3元优惠券"/>
    <m/>
    <m/>
    <s v="浙江杭州"/>
    <s v="漫兰飘香旗舰店"/>
    <d v="2014-04-17T11:40:55"/>
    <s v="4冠"/>
    <s v="4.6; 4.6; 4.8"/>
    <n v="45399"/>
    <s v="天猫"/>
    <n v="1"/>
    <s v="女装/女士精品 "/>
    <s v=" 连衣裙"/>
    <m/>
    <d v="2015-08-28T00:00:00"/>
    <d v="1899-12-30T15:56:10"/>
    <s v="4天21时46分25秒"/>
    <x v="1"/>
    <x v="1"/>
    <s v="http://item.taobao.com/item.htm?id=45622403217"/>
  </r>
  <r>
    <n v="14"/>
    <s v="第 1 页 第 14 位"/>
    <s v="棉麻连衣裙女2015夏季韩版学生小清新短袖中裙女文艺范亚麻裙子潮"/>
    <m/>
    <n v="138"/>
    <n v="0.22459999999999999"/>
    <n v="31"/>
    <n v="31"/>
    <n v="50031"/>
    <s v="包邮"/>
    <n v="10740"/>
    <n v="1.2500000000000001E-2"/>
    <n v="12348"/>
    <n v="1.09E-2"/>
    <n v="382788"/>
    <n v="6.8999999999999999E-3"/>
    <n v="60956"/>
    <n v="119568"/>
    <n v="0.50980000000000003"/>
    <n v="7"/>
    <n v="6754"/>
    <m/>
    <m/>
    <m/>
    <s v="10天退货，退货邮费买家承担|蚂蚁花呗|信用卡支付|集分宝|如实描述"/>
    <s v="浙江杭州"/>
    <s v="潮流女装62"/>
    <d v="2013-01-26T08:24:57"/>
    <s v="2冠"/>
    <s v="4.6; 4.7; 4.6"/>
    <n v="6812"/>
    <s v="淘宝"/>
    <n v="0.97219999999999995"/>
    <s v="女装/女士精品 "/>
    <s v=" 连衣裙"/>
    <m/>
    <d v="2015-08-24T00:00:00"/>
    <d v="1899-12-30T21:00:00"/>
    <s v="1天2时50分15秒"/>
    <x v="0"/>
    <x v="2"/>
    <s v="http://item.taobao.com/item.htm?id=520101954838"/>
  </r>
  <r>
    <n v="15"/>
    <s v="第 1 页 第 15 位"/>
    <s v="jto 新款印花雪纺连衣裙夏喇叭袖松紧收腰显瘦短裙a字裙女062325"/>
    <m/>
    <n v="87"/>
    <n v="0.8"/>
    <n v="69.599999999999994"/>
    <n v="69.599999999999994"/>
    <n v="1530"/>
    <s v="包邮"/>
    <n v="10634"/>
    <n v="1.24E-2"/>
    <n v="11950"/>
    <n v="1.0500000000000001E-2"/>
    <n v="831720"/>
    <n v="1.5100000000000001E-2"/>
    <n v="120364"/>
    <n v="252509"/>
    <n v="0.47670000000000001"/>
    <n v="4"/>
    <n v="9848"/>
    <m/>
    <s v="1.单笔订单满199元免运费(不包邮地区：内蒙古;黑龙江;甘肃;青海;新疆;西藏;台湾;香港;澳门;海外)，亲，快下手吧！"/>
    <m/>
    <s v="卖家承诺10天内发货|7天无理由|蚂蚁花呗|信用卡支付|集分宝|如实描述"/>
    <s v="浙江杭州"/>
    <s v="zjforeverxxxx"/>
    <d v="2008-07-14T22:11:30"/>
    <s v="2金冠"/>
    <s v="4.6; 4.7; 4.7"/>
    <n v="1458842"/>
    <s v="淘宝"/>
    <n v="0.98819999999999997"/>
    <s v="女装/女士精品 "/>
    <s v=" 连衣裙"/>
    <m/>
    <d v="2015-08-23T00:00:00"/>
    <d v="1899-12-30T22:07:27"/>
    <d v="1899-12-30T03:57:42"/>
    <x v="5"/>
    <x v="0"/>
    <s v="http://item.taobao.com/item.htm?id=520200646708"/>
  </r>
  <r>
    <n v="16"/>
    <s v="第 1 页 第 16 位"/>
    <s v="2015夏季新款小香风条纹胖MM背心连衣裙宽松大码蓬蓬裙高腰娃娃衫"/>
    <m/>
    <n v="262"/>
    <n v="9.1600000000000001E-2"/>
    <n v="24"/>
    <n v="24"/>
    <n v="457803"/>
    <s v="包邮"/>
    <n v="10333"/>
    <n v="1.21E-2"/>
    <n v="11330"/>
    <n v="0.01"/>
    <n v="271920"/>
    <n v="4.8999999999999998E-3"/>
    <n v="66934"/>
    <n v="44914"/>
    <n v="1.4903"/>
    <n v="3"/>
    <n v="2226"/>
    <m/>
    <m/>
    <m/>
    <s v="7天无理由|蚂蚁花呗|信用卡支付|集分宝|如实描述"/>
    <s v="广东广州"/>
    <s v="小小盼z"/>
    <d v="2013-10-21T13:20:28"/>
    <s v="3冠"/>
    <s v="4.4; 4.5; 4.4"/>
    <n v="12566"/>
    <s v="淘宝"/>
    <n v="0.94430000000000003"/>
    <s v="女装/女士精品 "/>
    <s v=" 连衣裙"/>
    <m/>
    <d v="2015-08-29T00:00:00"/>
    <d v="1899-12-30T22:03:23"/>
    <s v="6天3时53分38秒"/>
    <x v="3"/>
    <x v="0"/>
    <s v="http://item.taobao.com/item.htm?id=520448498247"/>
  </r>
  <r>
    <n v="17"/>
    <s v="第 1 页 第 17 位"/>
    <s v="2015韩系小清新套装连衣裙女春夏白领拼接两件套装裙吊带背心裙潮"/>
    <s v="fashion326"/>
    <n v="127"/>
    <n v="0.21260000000000001"/>
    <n v="27"/>
    <n v="27"/>
    <n v="185972"/>
    <s v="包邮"/>
    <n v="10281"/>
    <n v="1.2E-2"/>
    <n v="12390"/>
    <n v="1.09E-2"/>
    <n v="334530"/>
    <n v="6.1000000000000004E-3"/>
    <n v="85032"/>
    <n v="77105"/>
    <n v="1.1028"/>
    <n v="9"/>
    <n v="5282"/>
    <m/>
    <s v="1.单笔订单满10元免运费(不包邮地区：台湾;香港;澳门;海外)，亲，快下手吧！|2.单笔订单满88元减4元；减后满88元，免运费(不包邮地区：台湾;香港;澳门;海外)，亲，快下手吧！|3.单笔订单满168元减8元；减后满168元，免运费(不包邮地区：台湾;香港;澳门;海外)，亲，快下手吧！|4.单笔订单满328元减16元；减后满328元，免运费(不包邮地区：台湾;香港;澳门;海外)，亲，快下手吧！|5.单笔订单满528元减20元；减后满528元，免运费(不包邮地区：台湾;香港;澳门;海外)，亲，快下手吧！"/>
    <m/>
    <s v="8天退货，退货邮费买家承担|蚂蚁花呗|信用卡支付|集分宝|如实描述"/>
    <s v="浙江杭州"/>
    <s v="fashion时尚依馆"/>
    <d v="2013-12-12T00:21:30"/>
    <s v="3冠"/>
    <s v="4.6; 4.7; 4.6"/>
    <n v="31264"/>
    <s v="淘宝"/>
    <n v="0.98580000000000001"/>
    <s v="女装/女士精品 "/>
    <s v=" 连衣裙"/>
    <m/>
    <d v="2015-08-29T00:00:00"/>
    <d v="1899-12-30T21:00:00"/>
    <s v="6天2时50分15秒"/>
    <x v="3"/>
    <x v="2"/>
    <s v="http://item.taobao.com/item.htm?id=45449529737"/>
  </r>
  <r>
    <n v="18"/>
    <s v="第 1 页 第 18 位"/>
    <s v="2015夏季包臀莫代尔长裙连衣裙大码吊带修身打底背心裙长款长裙"/>
    <m/>
    <n v="89"/>
    <n v="0.32469999999999999"/>
    <n v="28.9"/>
    <n v="28.9"/>
    <n v="173717"/>
    <s v="包邮"/>
    <n v="10127"/>
    <n v="1.18E-2"/>
    <n v="13577"/>
    <n v="1.2E-2"/>
    <n v="392375.3"/>
    <n v="7.1000000000000004E-3"/>
    <n v="29294"/>
    <n v="57926"/>
    <n v="0.50570000000000004"/>
    <n v="9"/>
    <n v="4994"/>
    <m/>
    <m/>
    <m/>
    <s v="卖家承诺72小时内发货|7天无理由|蚂蚁花呗|信用卡支付|集分宝|如实描述"/>
    <s v="浙江杭州"/>
    <s v="名款城"/>
    <d v="2011-08-16T18:21:59"/>
    <s v="3冠"/>
    <s v="4.8; 4.8; 4.7"/>
    <n v="12999"/>
    <s v="淘宝"/>
    <n v="0.98740000000000006"/>
    <s v="女装/女士精品 "/>
    <s v=" 连衣裙"/>
    <m/>
    <d v="2015-08-25T00:00:00"/>
    <d v="1899-12-30T16:08:34"/>
    <s v="1天21时58分49秒"/>
    <x v="6"/>
    <x v="6"/>
    <s v="http://item.taobao.com/item.htm?id=520135988843"/>
  </r>
  <r>
    <n v="19"/>
    <s v="第 1 页 第 19 位"/>
    <s v="两件套连衣裙欧洲站2015夏装新款套装雪纺裙子背心休闲短裙气质潮"/>
    <m/>
    <n v="128"/>
    <n v="0.28910000000000002"/>
    <n v="37"/>
    <n v="37"/>
    <n v="680"/>
    <s v="包邮"/>
    <n v="8894"/>
    <n v="1.04E-2"/>
    <n v="12223"/>
    <n v="1.0800000000000001E-2"/>
    <n v="452251"/>
    <n v="8.2000000000000007E-3"/>
    <n v="43082"/>
    <n v="78608"/>
    <n v="0.54810000000000003"/>
    <n v="2"/>
    <n v="1137"/>
    <m/>
    <m/>
    <m/>
    <s v="卖家承诺72小时内发货|8天退货，退货邮费买家承担|蚂蚁花呗|信用卡支付|集分宝|如实描述"/>
    <s v="广东广州"/>
    <s v="随心良品"/>
    <d v="2013-06-01T09:19:07"/>
    <s v="4冠"/>
    <s v="4.8; 4.8; 4.8"/>
    <n v="23117"/>
    <s v="淘宝"/>
    <n v="0.98460000000000003"/>
    <s v="女装/女士精品 "/>
    <s v=" 连衣裙"/>
    <m/>
    <d v="2015-08-26T00:00:00"/>
    <d v="1899-12-30T23:00:40"/>
    <s v="3天4时50分55秒"/>
    <x v="2"/>
    <x v="4"/>
    <s v="http://item.taobao.com/item.htm?id=520523704111"/>
  </r>
  <r>
    <n v="20"/>
    <s v="第 1 页 第 20 位"/>
    <s v="欧洲站2015夏装新款真丝雪纺水墨印花连衣裙收腰显瘦女裙子欧货"/>
    <s v="MY008"/>
    <n v="988"/>
    <n v="0.1615"/>
    <n v="159.6"/>
    <n v="159.6"/>
    <n v="651"/>
    <s v="包邮"/>
    <n v="8733"/>
    <n v="1.0200000000000001E-2"/>
    <n v="9760"/>
    <n v="8.6E-3"/>
    <n v="1557696"/>
    <n v="2.8199999999999999E-2"/>
    <n v="73194"/>
    <n v="690856"/>
    <n v="0.10589999999999999"/>
    <n v="22"/>
    <n v="5051"/>
    <m/>
    <m/>
    <m/>
    <s v="卖家承诺30天内发货|7天无理由|蚂蚁花呗|信用卡支付|集分宝|如实描述"/>
    <s v="浙江杭州"/>
    <s v="zywj16叶伟林"/>
    <d v="2009-03-02T19:15:09"/>
    <s v="3冠"/>
    <s v="4.7; 4.8; 4.7"/>
    <n v="55049"/>
    <s v="淘宝"/>
    <n v="0.9758"/>
    <s v="女装/女士精品 "/>
    <s v=" 连衣裙"/>
    <m/>
    <d v="2015-08-26T00:00:00"/>
    <d v="1899-12-30T20:20:00"/>
    <s v="3天2时10分15秒"/>
    <x v="2"/>
    <x v="7"/>
    <s v="http://item.taobao.com/item.htm?id=520386051081"/>
  </r>
  <r>
    <n v="21"/>
    <s v="第 1 页 第 21 位"/>
    <s v="歌兔雪纺连衣裙夏季长裙2015夏装清仓特价修身显瘦中长款女装裙子"/>
    <s v="GT15CQZ69"/>
    <n v="298"/>
    <n v="0.29830000000000001"/>
    <n v="88.9"/>
    <n v="88.9"/>
    <n v="8437"/>
    <s v="包邮"/>
    <n v="8355"/>
    <n v="9.7999999999999997E-3"/>
    <n v="11294"/>
    <n v="0.01"/>
    <n v="1004036.6"/>
    <n v="1.8200000000000001E-2"/>
    <n v="145106"/>
    <s v="-"/>
    <s v="-"/>
    <n v="130"/>
    <n v="30222"/>
    <m/>
    <m/>
    <m/>
    <m/>
    <s v="浙江杭州"/>
    <s v="歌兔服饰旗舰店"/>
    <d v="2013-11-14T14:29:54"/>
    <s v="5冠"/>
    <s v="4.8; 4.8; 4.8"/>
    <n v="105194"/>
    <s v="天猫"/>
    <n v="1"/>
    <s v="女装/女士精品 "/>
    <s v=" 连衣裙"/>
    <m/>
    <d v="2015-08-24T00:00:00"/>
    <d v="1899-12-30T21:01:05"/>
    <s v="1天2时51分20秒"/>
    <x v="0"/>
    <x v="2"/>
    <s v="http://item.taobao.com/item.htm?id=44548937074"/>
  </r>
  <r>
    <n v="22"/>
    <s v="第 1 页 第 22 位"/>
    <s v="2015夏季新款气质大码中裙文艺复古棉麻两件套连衣裙亚麻套装裙女"/>
    <m/>
    <n v="144"/>
    <n v="0.30559999999999998"/>
    <n v="44"/>
    <n v="44"/>
    <n v="30212"/>
    <s v="包邮"/>
    <n v="8328"/>
    <n v="9.7000000000000003E-3"/>
    <n v="13084"/>
    <n v="1.15E-2"/>
    <n v="575696"/>
    <n v="1.04E-2"/>
    <n v="18992"/>
    <n v="205427"/>
    <n v="9.2499999999999999E-2"/>
    <n v="9"/>
    <n v="923"/>
    <m/>
    <m/>
    <m/>
    <s v="7天无理由|蚂蚁花呗|信用卡支付|集分宝|如实描述"/>
    <s v="广东广州"/>
    <s v="陈燕芬yyen"/>
    <d v="2013-10-21T12:54:45"/>
    <s v="5钻"/>
    <s v="4.8; 4.7; 4.7"/>
    <n v="2296"/>
    <s v="淘宝"/>
    <n v="0.95960000000000001"/>
    <s v="女装/女士精品 "/>
    <s v=" 连衣裙"/>
    <m/>
    <d v="2015-08-27T00:00:00"/>
    <d v="1899-12-30T11:00:10"/>
    <s v="3天16时50分25秒"/>
    <x v="4"/>
    <x v="8"/>
    <s v="http://item.taobao.com/item.htm?id=520826757637"/>
  </r>
  <r>
    <n v="23"/>
    <s v="第 1 页 第 23 位"/>
    <s v="2015韩版小清新性感露肩收腰碎花连衣裙夏女学生修身显瘦雪纺裙子"/>
    <m/>
    <n v="139"/>
    <n v="0.17269999999999999"/>
    <n v="24"/>
    <n v="24"/>
    <n v="152744"/>
    <s v="包邮"/>
    <n v="8296"/>
    <n v="9.7000000000000003E-3"/>
    <n v="9094"/>
    <n v="8.0000000000000002E-3"/>
    <n v="218256"/>
    <n v="4.0000000000000001E-3"/>
    <n v="61206"/>
    <n v="88663"/>
    <n v="0.69030000000000002"/>
    <n v="2"/>
    <n v="7632"/>
    <m/>
    <m/>
    <m/>
    <s v="7天无理由|蚂蚁花呗|信用卡支付|集分宝|如实描述"/>
    <s v="广东广州"/>
    <s v="小小盼z"/>
    <d v="2013-10-21T13:20:28"/>
    <s v="3冠"/>
    <s v="4.4; 4.5; 4.4"/>
    <n v="12566"/>
    <s v="淘宝"/>
    <n v="0.94430000000000003"/>
    <s v="女装/女士精品 "/>
    <s v=" 连衣裙"/>
    <m/>
    <d v="2015-08-23T00:00:00"/>
    <d v="1899-12-30T21:56:51"/>
    <d v="1899-12-30T03:47:06"/>
    <x v="5"/>
    <x v="2"/>
    <s v="http://item.taobao.com/item.htm?id=45781507725"/>
  </r>
  <r>
    <n v="24"/>
    <s v="第 1 页 第 24 位"/>
    <s v="欧洲站2015新款夏季印花连衣裙欧根纱高腰短裙韩版背心裙女装包邮"/>
    <n v="1005"/>
    <n v="336"/>
    <n v="0.52980000000000005"/>
    <n v="178"/>
    <n v="178"/>
    <n v="5433"/>
    <s v="包邮"/>
    <n v="8293"/>
    <n v="9.7000000000000003E-3"/>
    <n v="10574"/>
    <n v="9.2999999999999992E-3"/>
    <n v="1882172"/>
    <n v="3.4099999999999998E-2"/>
    <n v="154226"/>
    <n v="749378"/>
    <n v="0.20580000000000001"/>
    <n v="78"/>
    <n v="2177"/>
    <m/>
    <m/>
    <m/>
    <s v="卖家承诺48小时内发货|7天无理由|蚂蚁花呗|信用卡支付|集分宝|如实描述"/>
    <s v="浙江杭州"/>
    <s v="童年梦之路"/>
    <d v="2014-09-20T21:38:55"/>
    <s v="1冠"/>
    <s v="4.6; 4.7; 4.6"/>
    <n v="37061"/>
    <s v="淘宝"/>
    <n v="0.97909999999999997"/>
    <s v="女装/女士精品 "/>
    <s v=" 连衣裙"/>
    <m/>
    <d v="2015-08-28T00:00:00"/>
    <d v="1899-12-30T22:02:01"/>
    <s v="5天3时52分16秒"/>
    <x v="1"/>
    <x v="0"/>
    <s v="http://item.taobao.com/item.htm?id=520543428983"/>
  </r>
  <r>
    <n v="25"/>
    <s v="第 1 页 第 25 位"/>
    <s v="2015夏装大码女装超长两件套拼接款修身蕾丝中裙子印花雪纺连衣裙"/>
    <s v="2YF001-6658"/>
    <n v="128"/>
    <n v="0.23200000000000001"/>
    <n v="29.7"/>
    <n v="29.7"/>
    <n v="24279"/>
    <n v="5"/>
    <n v="8239"/>
    <n v="9.5999999999999992E-3"/>
    <n v="10091"/>
    <n v="8.8999999999999999E-3"/>
    <n v="299702.7"/>
    <n v="5.4000000000000003E-3"/>
    <n v="19022"/>
    <s v="-"/>
    <s v="-"/>
    <n v="1"/>
    <n v="3941"/>
    <m/>
    <s v="满3件，享包邮，送3元优惠券"/>
    <m/>
    <m/>
    <s v="浙江杭州"/>
    <s v="漫兰飘香旗舰店"/>
    <d v="2014-04-17T11:40:55"/>
    <s v="4冠"/>
    <s v="4.6; 4.6; 4.8"/>
    <n v="45399"/>
    <s v="天猫"/>
    <n v="1"/>
    <s v="女装/女士精品 "/>
    <s v=" 连衣裙"/>
    <m/>
    <d v="2015-08-25T00:00:00"/>
    <d v="1899-12-30T20:40:00"/>
    <s v="2天2时30分15秒"/>
    <x v="6"/>
    <x v="7"/>
    <s v="http://item.taobao.com/item.htm?id=520518136294"/>
  </r>
  <r>
    <n v="26"/>
    <s v="第 1 页 第 26 位"/>
    <s v="彩黛妃2015春夏季新款女装性感气质短袖修身显瘦连衣裙韩版L0180"/>
    <s v="L0180"/>
    <n v="128"/>
    <n v="0.1547"/>
    <n v="19.8"/>
    <n v="19.8"/>
    <n v="13683"/>
    <s v="包邮"/>
    <n v="7986"/>
    <n v="9.2999999999999992E-3"/>
    <n v="10582"/>
    <n v="9.2999999999999992E-3"/>
    <n v="209523.6"/>
    <n v="3.8E-3"/>
    <n v="29880"/>
    <s v="-"/>
    <s v="-"/>
    <n v="7"/>
    <n v="9696"/>
    <m/>
    <m/>
    <m/>
    <m/>
    <s v="江苏宿迁"/>
    <s v="彩黛妃旗舰店"/>
    <d v="2014-03-25T10:48:46"/>
    <s v="1金冠"/>
    <s v="4.6; 4.6; 4.8"/>
    <n v="308260"/>
    <s v="天猫"/>
    <n v="1"/>
    <s v="女装/女士精品 "/>
    <s v=" 连衣裙"/>
    <m/>
    <d v="2015-08-27T00:00:00"/>
    <d v="1899-12-30T10:04:14"/>
    <s v="3天15时54分29秒"/>
    <x v="4"/>
    <x v="3"/>
    <s v="http://item.taobao.com/item.htm?id=45315416266"/>
  </r>
  <r>
    <n v="27"/>
    <s v="第 1 页 第 27 位"/>
    <s v="2015夏季新款韩版女装休闲套装连衣裙裤短袖t恤雪纺衫短裙两件套"/>
    <m/>
    <n v="78"/>
    <n v="0.48720000000000002"/>
    <n v="38"/>
    <n v="38"/>
    <n v="268870"/>
    <s v="包邮"/>
    <n v="7916"/>
    <n v="9.1999999999999998E-3"/>
    <n v="9298"/>
    <n v="8.2000000000000007E-3"/>
    <n v="353324"/>
    <n v="6.4000000000000003E-3"/>
    <n v="21184"/>
    <n v="54126"/>
    <n v="0.39140000000000003"/>
    <n v="15"/>
    <n v="3152"/>
    <m/>
    <m/>
    <m/>
    <s v="卖家承诺72小时内发货|7天无理由|蚂蚁花呗|信用卡支付|集分宝|如实描述"/>
    <s v="广东广州"/>
    <s v="雅丹娜韩版女装"/>
    <d v="2013-11-08T22:25:31"/>
    <s v="3冠"/>
    <s v="4.5; 4.5; 4.4"/>
    <n v="8607"/>
    <s v="淘宝"/>
    <n v="0.94940000000000002"/>
    <s v="女装/女士精品 "/>
    <s v=" 连衣裙"/>
    <m/>
    <d v="2015-08-24T00:00:00"/>
    <d v="1899-12-30T10:35:00"/>
    <d v="1899-12-30T16:25:15"/>
    <x v="0"/>
    <x v="3"/>
    <s v="http://item.taobao.com/item.htm?id=520090687820"/>
  </r>
  <r>
    <n v="28"/>
    <s v="第 1 页 第 28 位"/>
    <s v="1嫣洛-dl04新款2015夏装韩版女装圆领时髦女郎印花收腰连衣裙F-29"/>
    <m/>
    <n v="110"/>
    <n v="0.49"/>
    <n v="53.9"/>
    <n v="53.9"/>
    <n v="3457"/>
    <s v="包邮"/>
    <n v="7704"/>
    <n v="8.9999999999999993E-3"/>
    <n v="8426"/>
    <n v="7.4000000000000003E-3"/>
    <n v="454161.4"/>
    <n v="8.2000000000000007E-3"/>
    <n v="73858"/>
    <n v="638129"/>
    <n v="0.1157"/>
    <n v="57"/>
    <n v="11990"/>
    <m/>
    <m/>
    <m/>
    <s v="7天无理由|集分宝|支付宝支付|如实描述"/>
    <s v="浙江杭州"/>
    <s v="日韩女装专卖"/>
    <d v="2007-02-27T21:26:16"/>
    <s v="4金冠"/>
    <s v="4.6; 4.7; 4.6"/>
    <n v="4387178"/>
    <s v="淘宝"/>
    <n v="0.9879"/>
    <s v="女装/女士精品 "/>
    <s v=" 连衣裙"/>
    <m/>
    <d v="2015-08-26T00:00:00"/>
    <d v="1899-12-30T10:03:20"/>
    <s v="2天15时53分35秒"/>
    <x v="2"/>
    <x v="3"/>
    <s v="http://item.taobao.com/item.htm?id=520232454502"/>
  </r>
  <r>
    <n v="29"/>
    <s v="第 1 页 第 29 位"/>
    <s v="2015夏季韩国碎花打底吊带裙女装修身背带短裙雪纺收腰显瘦连衣裙"/>
    <m/>
    <n v="43"/>
    <n v="0.4884"/>
    <n v="21"/>
    <n v="21"/>
    <n v="17788"/>
    <s v="包邮"/>
    <n v="7573"/>
    <n v="8.8000000000000005E-3"/>
    <n v="8794"/>
    <n v="7.7999999999999996E-3"/>
    <n v="184674"/>
    <n v="3.3E-3"/>
    <n v="26472"/>
    <n v="28697"/>
    <n v="0.92249999999999999"/>
    <n v="7"/>
    <n v="1892"/>
    <m/>
    <m/>
    <m/>
    <s v="7天无理由|集分宝|支付宝支付|如实描述"/>
    <s v="广东广州"/>
    <s v="小晗子家"/>
    <d v="2014-04-04T12:47:29"/>
    <s v="5钻"/>
    <s v="4.7; 4.7; 4.6"/>
    <n v="6583"/>
    <s v="淘宝"/>
    <n v="0.97770000000000001"/>
    <s v="女装/女士精品 "/>
    <s v=" 连衣裙"/>
    <m/>
    <d v="2015-08-29T00:00:00"/>
    <d v="1899-12-30T15:10:00"/>
    <s v="5天21时0分15秒"/>
    <x v="3"/>
    <x v="1"/>
    <s v="http://item.taobao.com/item.htm?id=520063878818"/>
  </r>
  <r>
    <n v="30"/>
    <s v="第 1 页 第 30 位"/>
    <s v="中年妈妈装中老年连衣裙35-40-45-50岁大码妇女装短袖花裙子夏装"/>
    <n v="1305"/>
    <n v="128"/>
    <n v="0.1779"/>
    <n v="22.77"/>
    <n v="22.77"/>
    <n v="5070"/>
    <s v="包邮"/>
    <n v="7510"/>
    <n v="8.8000000000000005E-3"/>
    <n v="15345"/>
    <n v="1.35E-2"/>
    <n v="349405.65"/>
    <n v="6.3E-3"/>
    <n v="28944"/>
    <n v="482843"/>
    <n v="5.9900000000000002E-2"/>
    <n v="620"/>
    <n v="12841"/>
    <m/>
    <m/>
    <m/>
    <s v="8天退货，退货邮费买家承担|蚂蚁花呗|信用卡支付|集分宝|如实描述"/>
    <s v="北京"/>
    <s v="945xujie945"/>
    <d v="2013-05-29T08:39:43"/>
    <s v="3冠"/>
    <s v="4.7; 4.7; 4.7"/>
    <n v="5740"/>
    <s v="淘宝"/>
    <n v="0.99270000000000003"/>
    <s v="女装/女士精品 "/>
    <s v=" 连衣裙"/>
    <m/>
    <d v="2015-08-23T00:00:00"/>
    <d v="1899-12-30T20:43:40"/>
    <d v="1899-12-30T02:33:55"/>
    <x v="5"/>
    <x v="7"/>
    <s v="http://item.taobao.com/item.htm?id=38096663728"/>
  </r>
  <r>
    <n v="31"/>
    <s v="第 1 页 第 31 位"/>
    <s v="2015夏季新款修身背心裙 欧美竖条纹显瘦无袖连衣裙V领蓬蓬连衣裙"/>
    <m/>
    <n v="111"/>
    <n v="0.2432"/>
    <n v="27"/>
    <n v="27"/>
    <n v="26367"/>
    <s v="包邮"/>
    <n v="7452"/>
    <n v="8.6999999999999994E-3"/>
    <n v="7822"/>
    <n v="6.8999999999999999E-3"/>
    <n v="211194"/>
    <n v="3.8E-3"/>
    <n v="36440"/>
    <n v="73622"/>
    <n v="0.495"/>
    <n v="6"/>
    <n v="4974"/>
    <m/>
    <m/>
    <m/>
    <s v="卖家承诺72小时内发货|7天无理由|蚂蚁花呗|信用卡支付|集分宝|如实描述"/>
    <s v="广东广州"/>
    <s v="潮_流范儿"/>
    <d v="2014-04-09T17:40:56"/>
    <s v="2冠"/>
    <s v="4.6; 4.6; 4.5"/>
    <n v="5722"/>
    <s v="淘宝"/>
    <n v="0.96989999999999998"/>
    <s v="女装/女士精品 "/>
    <s v=" 连衣裙"/>
    <m/>
    <d v="2015-08-23T00:00:00"/>
    <d v="1899-12-30T22:05:07"/>
    <d v="1899-12-30T03:55:22"/>
    <x v="5"/>
    <x v="0"/>
    <s v="http://item.taobao.com/item.htm?id=520589940228"/>
  </r>
  <r>
    <n v="32"/>
    <s v="第 1 页 第 32 位"/>
    <s v="2015秋季新款女装大码印花裙子中长款长袖女士t恤时尚连衣裙女秋"/>
    <s v="FXYL2313"/>
    <n v="88"/>
    <n v="0.2727"/>
    <n v="24"/>
    <n v="24"/>
    <n v="69092"/>
    <s v="包邮"/>
    <n v="7395"/>
    <n v="8.6E-3"/>
    <n v="8631"/>
    <n v="7.6E-3"/>
    <n v="207144"/>
    <n v="3.7000000000000002E-3"/>
    <n v="10296"/>
    <s v="-"/>
    <s v="-"/>
    <n v="1"/>
    <n v="2886"/>
    <m/>
    <m/>
    <m/>
    <m/>
    <s v="浙江杭州"/>
    <s v="famcheyo法香郁旗舰店"/>
    <d v="2013-07-11T13:14:40"/>
    <s v="4冠"/>
    <s v="4.7; 4.7; 4.7"/>
    <n v="15369"/>
    <s v="天猫"/>
    <n v="1"/>
    <s v="女装/女士精品 "/>
    <s v=" 连衣裙"/>
    <m/>
    <d v="2015-08-25T00:00:00"/>
    <d v="1899-12-30T18:56:30"/>
    <s v="2天46分45秒"/>
    <x v="6"/>
    <x v="9"/>
    <s v="http://item.taobao.com/item.htm?id=520521452563"/>
  </r>
  <r>
    <n v="33"/>
    <s v="第 1 页 第 33 位"/>
    <s v="韩国代购2015夏装新款无袖公主连衣裙女宽松大码蓬蓬裙高腰娃娃衫"/>
    <n v="25"/>
    <n v="680"/>
    <n v="0.115"/>
    <n v="78.209999999999994"/>
    <n v="78.209999999999994"/>
    <n v="8081"/>
    <s v="包邮"/>
    <n v="7393"/>
    <n v="8.6E-3"/>
    <n v="7936"/>
    <n v="7.0000000000000001E-3"/>
    <n v="620674.56000000006"/>
    <n v="1.12E-2"/>
    <n v="37774"/>
    <n v="57050"/>
    <n v="0.66210000000000002"/>
    <n v="5"/>
    <n v="2592"/>
    <m/>
    <m/>
    <m/>
    <s v="7天无理由|蚂蚁花呗|信用卡支付|集分宝|如实描述"/>
    <s v="广东广州"/>
    <s v="魅影mylove"/>
    <d v="2012-05-23T19:33:34"/>
    <s v="3冠"/>
    <s v="4.7; 4.8; 4.7"/>
    <n v="70278"/>
    <s v="淘宝"/>
    <n v="0.98129999999999995"/>
    <s v="女装/女士精品 "/>
    <s v=" 连衣裙"/>
    <m/>
    <d v="2015-08-28T00:00:00"/>
    <d v="1899-12-30T14:13:00"/>
    <s v="4天20时3分15秒"/>
    <x v="1"/>
    <x v="10"/>
    <s v="http://item.taobao.com/item.htm?id=520425699980"/>
  </r>
  <r>
    <n v="34"/>
    <s v="第 1 页 第 34 位"/>
    <s v="2015韩版大码甜美碎花修身显瘦中裙夏中长款中袖印花雪纺连衣裙秋"/>
    <n v="8858"/>
    <n v="91"/>
    <n v="0.32969999999999999"/>
    <n v="30"/>
    <n v="30"/>
    <n v="164161"/>
    <s v="包邮"/>
    <n v="7352"/>
    <n v="8.6E-3"/>
    <n v="9175"/>
    <n v="8.0999999999999996E-3"/>
    <n v="275250"/>
    <n v="5.0000000000000001E-3"/>
    <n v="32076"/>
    <n v="72412"/>
    <n v="0.443"/>
    <n v="3"/>
    <n v="3037"/>
    <m/>
    <m/>
    <m/>
    <s v="卖家承诺48小时内发货|8天退货，退货邮费卖家承担|蚂蚁花呗|信用卡支付|集分宝|如实描述"/>
    <s v="广东广州"/>
    <s v="亚洲电商shopping平台"/>
    <d v="2014-10-21T05:56:29"/>
    <s v="2冠"/>
    <s v="4.7; 4.7; 4.7"/>
    <n v="5773"/>
    <s v="淘宝"/>
    <n v="0.97389999999999999"/>
    <s v="女装/女士精品 "/>
    <s v=" 连衣裙"/>
    <m/>
    <d v="2015-08-28T00:00:00"/>
    <d v="1899-12-30T20:00:00"/>
    <s v="5天1时50分15秒"/>
    <x v="1"/>
    <x v="7"/>
    <s v="http://item.taobao.com/item.htm?id=520563537761"/>
  </r>
  <r>
    <n v="35"/>
    <s v="第 1 页 第 35 位"/>
    <s v="欧洲站2015夏季女装印花连衣裙夏中裙时尚显瘦大码胖mm雪纺裙子"/>
    <m/>
    <n v="87"/>
    <n v="0.29470000000000002"/>
    <n v="25.64"/>
    <n v="25.64"/>
    <n v="26956"/>
    <s v="包邮"/>
    <n v="7166"/>
    <n v="8.3999999999999995E-3"/>
    <n v="7929"/>
    <n v="7.0000000000000001E-3"/>
    <n v="203299.56"/>
    <n v="3.7000000000000002E-3"/>
    <n v="11134"/>
    <n v="23607"/>
    <n v="0.47160000000000002"/>
    <n v="12"/>
    <n v="2142"/>
    <m/>
    <m/>
    <m/>
    <s v="卖家承诺24小时内发货|7天无理由|集分宝|支付宝支付|如实描述"/>
    <s v="广东广州"/>
    <s v="幸福是会重生的"/>
    <d v="2014-02-23T14:52:15"/>
    <s v="2冠"/>
    <s v="4.7; 4.7; 4.6"/>
    <n v="4113"/>
    <s v="淘宝"/>
    <n v="0.9768"/>
    <s v="女装/女士精品 "/>
    <s v=" 连衣裙"/>
    <m/>
    <d v="2015-08-29T00:00:00"/>
    <d v="1899-12-30T21:20:40"/>
    <s v="6天3时10分55秒"/>
    <x v="3"/>
    <x v="2"/>
    <s v="http://item.taobao.com/item.htm?id=520661672994"/>
  </r>
  <r>
    <n v="36"/>
    <s v="第 1 页 第 36 位"/>
    <s v="2015夏装新款显瘦牛仔连衣裙背带裙女夏季潮学生牛仔吊带背心短裙"/>
    <m/>
    <n v="140"/>
    <n v="0.15"/>
    <n v="21"/>
    <n v="21"/>
    <n v="413406"/>
    <s v="包邮"/>
    <n v="7121"/>
    <n v="8.3000000000000001E-3"/>
    <n v="11486"/>
    <n v="1.01E-2"/>
    <n v="241206"/>
    <n v="4.4000000000000003E-3"/>
    <n v="7220"/>
    <n v="18854"/>
    <n v="0.38290000000000002"/>
    <n v="7"/>
    <n v="561"/>
    <m/>
    <m/>
    <m/>
    <s v="卖家承诺24小时内发货|8天退货，退货邮费买家承担|蚂蚁花呗|信用卡支付|集分宝|如实描述"/>
    <s v="广东中山"/>
    <s v="限量女装批发"/>
    <d v="2012-03-30T21:37:12"/>
    <s v="3钻"/>
    <s v="4.7; 4.8; 4.7"/>
    <n v="1942"/>
    <s v="淘宝"/>
    <n v="0.99680000000000002"/>
    <s v="女装/女士精品 "/>
    <s v=" 连衣裙"/>
    <m/>
    <d v="2015-08-23T00:00:00"/>
    <d v="1899-12-30T21:45:00"/>
    <d v="1899-12-30T03:35:15"/>
    <x v="5"/>
    <x v="2"/>
    <s v="http://item.taobao.com/item.htm?id=520591170917"/>
  </r>
  <r>
    <n v="37"/>
    <s v="第 1 页 第 37 位"/>
    <s v="2015性感荷叶边露肩雪纺连衣裙夏女A字裙短裙宽松显瘦韩国QZ106"/>
    <s v="QZ106"/>
    <n v="158"/>
    <n v="0.62029999999999996"/>
    <n v="98"/>
    <n v="98"/>
    <n v="15992"/>
    <s v="包邮"/>
    <n v="7053"/>
    <n v="8.2000000000000007E-3"/>
    <n v="7537"/>
    <n v="6.6E-3"/>
    <n v="738626"/>
    <n v="1.34E-2"/>
    <n v="147526"/>
    <n v="331485"/>
    <n v="0.44500000000000001"/>
    <n v="5"/>
    <n v="3959"/>
    <m/>
    <m/>
    <m/>
    <s v="卖家承诺12天内发货|7天无理由|蚂蚁花呗|信用卡支付|集分宝|如实描述"/>
    <s v="浙江杭州"/>
    <s v="女人顶顶大"/>
    <d v="2007-06-15T13:25:37"/>
    <s v="2金冠"/>
    <s v="4.6; 4.7; 4.7"/>
    <n v="2664091"/>
    <s v="淘宝"/>
    <n v="0.98970000000000002"/>
    <s v="女装/女士精品 "/>
    <s v=" 连衣裙"/>
    <m/>
    <d v="2015-08-25T00:00:00"/>
    <d v="1899-12-30T10:00:00"/>
    <s v="1天15时50分15秒"/>
    <x v="6"/>
    <x v="3"/>
    <s v="http://item.taobao.com/item.htm?id=520340311664"/>
  </r>
  <r>
    <n v="38"/>
    <s v="第 1 页 第 38 位"/>
    <s v="韩国代购2015夏装新款女装明星同款修身A字裙中裙红色连衣裙夏季"/>
    <m/>
    <n v="193"/>
    <n v="0.15540000000000001"/>
    <n v="30"/>
    <n v="30"/>
    <n v="11042"/>
    <s v="包邮"/>
    <n v="6974"/>
    <n v="8.0999999999999996E-3"/>
    <n v="8895"/>
    <n v="7.7999999999999996E-3"/>
    <n v="266850"/>
    <n v="4.7999999999999996E-3"/>
    <n v="39956"/>
    <n v="116581"/>
    <n v="0.3427"/>
    <n v="7"/>
    <n v="8214"/>
    <m/>
    <m/>
    <m/>
    <s v="卖家承诺24小时内发货|7天无理由|蚂蚁花呗|集分宝|支付宝支付|如实描述"/>
    <s v="广东广州"/>
    <s v="hao87882894"/>
    <d v="2013-08-14T22:53:45"/>
    <s v="2冠"/>
    <s v="4.6; 4.6; 4.5"/>
    <n v="3240"/>
    <s v="淘宝"/>
    <n v="0.95979999999999999"/>
    <s v="女装/女士精品 "/>
    <s v=" 连衣裙"/>
    <m/>
    <d v="2015-08-28T00:00:00"/>
    <d v="1899-12-30T21:20:00"/>
    <s v="5天3时10分15秒"/>
    <x v="1"/>
    <x v="2"/>
    <s v="http://item.taobao.com/item.htm?id=45355935820"/>
  </r>
  <r>
    <n v="39"/>
    <s v="第 1 页 第 39 位"/>
    <s v="2015夏季新款牛奶丝中老年连衣裙中长款波西米亚复古包臀妈妈LYQ"/>
    <n v="1802"/>
    <n v="118"/>
    <n v="0.1426"/>
    <n v="16.829999999999998"/>
    <n v="16.829999999999998"/>
    <n v="10189"/>
    <s v="包邮"/>
    <n v="6965"/>
    <n v="8.0999999999999996E-3"/>
    <n v="17656"/>
    <n v="1.5599999999999999E-2"/>
    <n v="297150.48"/>
    <n v="5.4000000000000003E-3"/>
    <n v="9080"/>
    <n v="68915"/>
    <n v="0.1318"/>
    <n v="10"/>
    <n v="5887"/>
    <m/>
    <m/>
    <m/>
    <s v="7天无理由|蚂蚁花呗|信用卡支付|集分宝|如实描述"/>
    <s v="北京"/>
    <s v="清品幽罱"/>
    <d v="2013-08-25T14:48:12"/>
    <s v="2冠"/>
    <s v="4.7; 4.7; 4.7"/>
    <n v="2499"/>
    <s v="淘宝"/>
    <n v="0.96660000000000001"/>
    <s v="女装/女士精品 "/>
    <s v=" 连衣裙"/>
    <m/>
    <d v="2015-08-24T00:00:00"/>
    <d v="1899-12-30T22:09:58"/>
    <s v="1天4时0分13秒"/>
    <x v="0"/>
    <x v="0"/>
    <s v="http://item.taobao.com/item.htm?id=44161806562"/>
  </r>
  <r>
    <n v="40"/>
    <s v="第 1 页 第 40 位"/>
    <s v="棉麻连衣裙女夏季2015夏装女装新款韩版潮中长款修身显瘦中裙裙子"/>
    <m/>
    <n v="55"/>
    <n v="0.5"/>
    <n v="27.5"/>
    <n v="27.5"/>
    <n v="31731"/>
    <s v="包邮"/>
    <n v="6892"/>
    <n v="8.0999999999999996E-3"/>
    <n v="8711"/>
    <n v="7.7000000000000002E-3"/>
    <n v="239552.5"/>
    <n v="4.3E-3"/>
    <n v="7830"/>
    <n v="21619"/>
    <n v="0.36220000000000002"/>
    <n v="4"/>
    <n v="435"/>
    <m/>
    <m/>
    <m/>
    <s v="卖家承诺48小时内发货|7天无理由|集分宝|支付宝支付|如实描述"/>
    <s v="广东广州"/>
    <s v="清潭洞艾丽丝"/>
    <d v="2013-02-28T12:29:14"/>
    <s v="5钻"/>
    <s v="4.7; 4.7; 4.6"/>
    <n v="2280"/>
    <s v="淘宝"/>
    <n v="0.97230000000000005"/>
    <s v="女装/女士精品 "/>
    <s v=" 连衣裙"/>
    <m/>
    <d v="2015-08-24T00:00:00"/>
    <d v="1899-12-30T22:04:00"/>
    <s v="1天3时54分15秒"/>
    <x v="0"/>
    <x v="0"/>
    <s v="http://item.taobao.com/item.htm?id=520492857781"/>
  </r>
  <r>
    <n v="41"/>
    <s v="第 1 页 第 41 位"/>
    <s v="夏季新款海边度假雪纺沙滩裙波西米亚长裙碎花印花仙女吊带连衣裙"/>
    <n v="1203"/>
    <n v="78"/>
    <n v="0.35539999999999999"/>
    <n v="27.72"/>
    <n v="27.72"/>
    <n v="18942"/>
    <s v="包邮"/>
    <n v="6816"/>
    <n v="8.0000000000000002E-3"/>
    <n v="8167"/>
    <n v="7.1999999999999998E-3"/>
    <n v="226389.24"/>
    <n v="4.1000000000000003E-3"/>
    <n v="40584"/>
    <n v="114713"/>
    <n v="0.3538"/>
    <n v="7"/>
    <n v="10097"/>
    <m/>
    <m/>
    <m/>
    <s v="卖家承诺24小时内发货|7天无理由|蚂蚁花呗|集分宝|支付宝支付|如实描述"/>
    <s v="广东广州"/>
    <s v="艾米斯金"/>
    <d v="2012-05-10T01:17:59"/>
    <s v="2冠"/>
    <s v="4.6; 4.7; 4.6"/>
    <n v="2345"/>
    <s v="淘宝"/>
    <n v="0.98329999999999995"/>
    <s v="女装/女士精品 "/>
    <s v=" 连衣裙"/>
    <m/>
    <d v="2015-08-26T00:00:00"/>
    <d v="1899-12-30T21:15:07"/>
    <s v="3天3时5分22秒"/>
    <x v="2"/>
    <x v="2"/>
    <s v="http://item.taobao.com/item.htm?id=520023042411"/>
  </r>
  <r>
    <n v="42"/>
    <s v="第 1 页 第 42 位"/>
    <s v="2015夏季韩版收腰显瘦印花雪纺露肩连衣裙子吊带一字领大摆中长裙"/>
    <m/>
    <n v="290"/>
    <n v="0.46260000000000001"/>
    <n v="134.16"/>
    <n v="134.16"/>
    <n v="1715"/>
    <s v="包邮"/>
    <n v="6811"/>
    <n v="8.0000000000000002E-3"/>
    <n v="7755"/>
    <n v="6.7999999999999996E-3"/>
    <n v="1040410.8"/>
    <n v="1.8800000000000001E-2"/>
    <n v="75770"/>
    <n v="135914"/>
    <n v="0.5575"/>
    <n v="8"/>
    <n v="4643"/>
    <m/>
    <m/>
    <m/>
    <s v="卖家承诺72小时内发货|7天无理由|蚂蚁花呗|信用卡支付|集分宝|如实描述"/>
    <s v="浙江杭州"/>
    <s v="时尚靓衣吧11"/>
    <d v="2013-11-12T10:54:42"/>
    <s v="2冠"/>
    <s v="4.8; 4.8; 4.8"/>
    <n v="15853"/>
    <s v="淘宝"/>
    <n v="0.99219999999999997"/>
    <s v="女装/女士精品 "/>
    <s v=" 连衣裙"/>
    <m/>
    <d v="2015-08-30T00:00:00"/>
    <d v="1899-12-30T14:07:00"/>
    <s v="6天19时57分14秒"/>
    <x v="5"/>
    <x v="10"/>
    <s v="http://item.taobao.com/item.htm?id=520082649211"/>
  </r>
  <r>
    <n v="43"/>
    <s v="第 1 页 第 43 位"/>
    <s v="夏天新款女装复古蝴蝶印花修身连衣裙礼服无袖背心打底a字蓬蓬裙"/>
    <m/>
    <n v="98"/>
    <n v="0.38569999999999999"/>
    <n v="37.799999999999997"/>
    <n v="37.799999999999997"/>
    <n v="90248"/>
    <s v="包邮"/>
    <n v="6753"/>
    <n v="7.9000000000000008E-3"/>
    <n v="10282"/>
    <n v="9.1000000000000004E-3"/>
    <n v="388659.6"/>
    <n v="7.0000000000000001E-3"/>
    <n v="23772"/>
    <n v="41788"/>
    <n v="0.56889999999999996"/>
    <n v="9"/>
    <n v="3055"/>
    <m/>
    <m/>
    <m/>
    <s v="15天退货，退货邮费卖家承担|蚂蚁花呗|信用卡支付|集分宝|如实描述"/>
    <s v="广东广州"/>
    <s v="言而必有信88"/>
    <d v="2014-01-30T15:10:39"/>
    <s v="1冠"/>
    <s v="4.7; 4.8; 4.7"/>
    <n v="7628"/>
    <s v="淘宝"/>
    <n v="0.98650000000000004"/>
    <s v="女装/女士精品 "/>
    <s v=" 连衣裙"/>
    <m/>
    <d v="2015-08-23T00:00:00"/>
    <d v="1899-12-30T23:27:59"/>
    <d v="1899-12-30T05:18:13"/>
    <x v="5"/>
    <x v="4"/>
    <s v="http://item.taobao.com/item.htm?id=520217571580"/>
  </r>
  <r>
    <n v="44"/>
    <s v="第 1 页 第 44 位"/>
    <s v="长裙夏季连衣裙韩国修身碎花大码显瘦雪纺无袖波西米亚印花沙滩裙"/>
    <n v="8715"/>
    <n v="101"/>
    <n v="0.21779999999999999"/>
    <n v="22"/>
    <n v="22"/>
    <n v="11936"/>
    <s v="包邮"/>
    <n v="6689"/>
    <n v="7.7999999999999996E-3"/>
    <n v="8261"/>
    <n v="7.3000000000000001E-3"/>
    <n v="181742"/>
    <n v="3.3E-3"/>
    <n v="26408"/>
    <n v="29308"/>
    <n v="0.90110000000000001"/>
    <n v="9"/>
    <n v="1555"/>
    <m/>
    <m/>
    <m/>
    <s v="卖家承诺48小时内发货|不支持七天无理由|集分宝|支付宝支付|如实描述"/>
    <s v="广东广州"/>
    <s v="hdh红红"/>
    <d v="2015-05-20T19:57:10"/>
    <s v="4钻"/>
    <s v="4.7; 4.7; 4.6"/>
    <n v="1392"/>
    <s v="淘宝"/>
    <n v="0.98380000000000001"/>
    <s v="女装/女士精品 "/>
    <s v=" 连衣裙"/>
    <m/>
    <d v="2015-08-28T00:00:00"/>
    <d v="1899-12-30T11:47:14"/>
    <s v="4天17时37分28秒"/>
    <x v="1"/>
    <x v="8"/>
    <s v="http://item.taobao.com/item.htm?id=520049263453"/>
  </r>
  <r>
    <n v="45"/>
    <s v="第 1 页 第 45 位"/>
    <s v="2015打底夏季长裙显瘦吊带长裙莫代尔长裙黑白条纹无袖背心连衣裙"/>
    <m/>
    <n v="49"/>
    <n v="0.40200000000000002"/>
    <n v="19.7"/>
    <n v="19.7"/>
    <n v="67904"/>
    <s v="包邮"/>
    <n v="6636"/>
    <n v="7.7999999999999996E-3"/>
    <n v="9514"/>
    <n v="8.3999999999999995E-3"/>
    <n v="187425.8"/>
    <n v="3.3999999999999998E-3"/>
    <n v="23104"/>
    <n v="117941"/>
    <n v="0.19589999999999999"/>
    <n v="34"/>
    <n v="7435"/>
    <m/>
    <s v="1.单笔订单满65元减3元；亲，快下手吧！|2.单笔订单满70元减5元；减后满70元，送礼物，亲，快下手吧！"/>
    <m/>
    <s v="15天退货，退货邮费卖家承担|蚂蚁花呗|信用卡支付|集分宝|如实描述"/>
    <s v="山东青岛"/>
    <s v="奶油喝奶"/>
    <d v="2013-12-09T12:16:26"/>
    <s v="4冠"/>
    <s v="4.8; 4.8; 4.7"/>
    <n v="9441"/>
    <s v="淘宝"/>
    <n v="0.97470000000000001"/>
    <s v="女装/女士精品 "/>
    <s v=" 连衣裙"/>
    <m/>
    <d v="2015-08-28T00:00:00"/>
    <d v="1899-12-30T14:29:07"/>
    <s v="4天20时19分21秒"/>
    <x v="1"/>
    <x v="10"/>
    <s v="http://item.taobao.com/item.htm?id=39754010062"/>
  </r>
  <r>
    <n v="46"/>
    <s v="第 1 页 第 46 位"/>
    <s v="2015夏季新款欧洲站时尚名媛柔软欧根纱印花无袖大码连衣裙夏中裙"/>
    <s v="天赐-9898"/>
    <n v="188"/>
    <n v="0.25800000000000001"/>
    <n v="48.51"/>
    <n v="48.51"/>
    <n v="1842"/>
    <s v="包邮"/>
    <n v="6628"/>
    <n v="7.7000000000000002E-3"/>
    <n v="6936"/>
    <n v="6.1000000000000004E-3"/>
    <n v="336465.36"/>
    <n v="6.1000000000000004E-3"/>
    <n v="13166"/>
    <n v="37012"/>
    <n v="0.35570000000000002"/>
    <n v="4"/>
    <n v="1216"/>
    <m/>
    <m/>
    <m/>
    <s v="卖家承诺72小时内发货|8天退货，退货邮费买家承担|蚂蚁花呗|信用卡支付|集分宝|如实描述"/>
    <s v="广东广州"/>
    <s v="tb7973039"/>
    <d v="2011-11-27T23:56:41"/>
    <s v="4钻"/>
    <s v="4.5; 4.6; 4.5"/>
    <n v="3787"/>
    <s v="淘宝"/>
    <n v="0.96099999999999997"/>
    <s v="女装/女士精品 "/>
    <s v=" 连衣裙"/>
    <m/>
    <d v="2015-08-29T00:00:00"/>
    <d v="1899-12-30T21:24:20"/>
    <s v="6天3时14分34秒"/>
    <x v="3"/>
    <x v="2"/>
    <s v="http://item.taobao.com/item.htm?id=520014511001"/>
  </r>
  <r>
    <n v="47"/>
    <s v="第 1 页 第 47 位"/>
    <s v="2015夏装新款唐嫣明星同款连衣裙短袖显瘦气质镂空透视小黑裙女装"/>
    <n v="8077"/>
    <n v="299"/>
    <n v="0.2616"/>
    <n v="78.209999999999994"/>
    <n v="78.209999999999994"/>
    <n v="12404"/>
    <s v="包邮"/>
    <n v="6595"/>
    <n v="7.7000000000000002E-3"/>
    <n v="9444"/>
    <n v="8.3000000000000001E-3"/>
    <n v="738615.24"/>
    <n v="1.34E-2"/>
    <n v="47860"/>
    <n v="76793"/>
    <n v="0.62319999999999998"/>
    <n v="7"/>
    <n v="2092"/>
    <m/>
    <m/>
    <m/>
    <s v="卖家承诺24小时内发货|7天无理由|蚂蚁花呗|信用卡支付|集分宝|如实描述"/>
    <s v="广东广州"/>
    <s v="563803170wen"/>
    <d v="2013-06-22T19:07:13"/>
    <s v="2冠"/>
    <s v="4.8; 4.8; 4.7"/>
    <n v="15070"/>
    <s v="淘宝"/>
    <n v="0.98299999999999998"/>
    <s v="女装/女士精品 "/>
    <s v=" 连衣裙"/>
    <m/>
    <d v="2015-08-26T00:00:00"/>
    <d v="1899-12-30T21:10:00"/>
    <s v="3天3时0分14秒"/>
    <x v="2"/>
    <x v="2"/>
    <s v="http://item.taobao.com/item.htm?id=520304080374"/>
  </r>
  <r>
    <n v="48"/>
    <s v="第 1 页 第 48 位"/>
    <s v="韩国代购2015夏季新款韩版性感女装显瘦OL包臀蕾丝镂空连衣裙短裙"/>
    <n v="888"/>
    <n v="158"/>
    <n v="0.2525"/>
    <n v="39.9"/>
    <n v="39.9"/>
    <n v="11102"/>
    <s v="包邮"/>
    <n v="6548"/>
    <n v="7.6E-3"/>
    <n v="8198"/>
    <n v="7.1999999999999998E-3"/>
    <n v="327100.2"/>
    <n v="5.8999999999999999E-3"/>
    <n v="37044"/>
    <n v="65682"/>
    <n v="0.56399999999999995"/>
    <n v="7"/>
    <n v="4593"/>
    <m/>
    <m/>
    <m/>
    <s v="卖家承诺48小时内发货|7天无理由|蚂蚁花呗|信用卡支付|集分宝|如实描述"/>
    <s v="广东广州"/>
    <s v="天使之城丶妞妞"/>
    <d v="2014-09-21T20:03:59"/>
    <s v="1冠"/>
    <s v="4.7; 4.7; 4.6"/>
    <n v="4841"/>
    <s v="淘宝"/>
    <n v="0.92290000000000005"/>
    <s v="女装/女士精品 "/>
    <s v=" 连衣裙"/>
    <m/>
    <d v="2015-08-25T00:00:00"/>
    <d v="1899-12-30T02:10:00"/>
    <s v="1天8时0分14秒"/>
    <x v="6"/>
    <x v="11"/>
    <s v="http://item.taobao.com/item.htm?id=45818851323"/>
  </r>
  <r>
    <n v="49"/>
    <s v="第 2 页 第 1 位"/>
    <s v="2015夏装新款女装长裙子优雅中长款修身大码拼接印花雪纺连衣裙女"/>
    <s v="2YF2268--429"/>
    <n v="498"/>
    <n v="5.96E-2"/>
    <n v="29.7"/>
    <n v="29.7"/>
    <n v="393081"/>
    <n v="5"/>
    <n v="6289"/>
    <n v="7.3000000000000001E-3"/>
    <n v="8070"/>
    <n v="7.1000000000000004E-3"/>
    <n v="239679"/>
    <n v="4.3E-3"/>
    <n v="43462"/>
    <s v="-"/>
    <s v="-"/>
    <n v="10"/>
    <n v="13850"/>
    <m/>
    <s v="满3件，享包邮，送3元优惠券"/>
    <m/>
    <m/>
    <s v="浙江杭州"/>
    <s v="漫兰飘香旗舰店"/>
    <d v="2014-04-17T11:40:55"/>
    <s v="4冠"/>
    <s v="4.6; 4.6; 4.8"/>
    <n v="45399"/>
    <s v="天猫"/>
    <n v="1"/>
    <s v="女装/女士精品 "/>
    <s v=" 连衣裙"/>
    <m/>
    <d v="2015-08-28T00:00:00"/>
    <d v="1899-12-30T22:40:20"/>
    <s v="5天4时30分34秒"/>
    <x v="1"/>
    <x v="0"/>
    <s v="http://item.taobao.com/item.htm?id=45573789007"/>
  </r>
  <r>
    <n v="50"/>
    <s v="第 2 页 第 2 位"/>
    <s v="2015夏装新款女装韩版名媛假两件套装裙子短袖雪纺连衣裙女打底裙"/>
    <m/>
    <n v="173"/>
    <n v="0.1908"/>
    <n v="33"/>
    <n v="33"/>
    <n v="28996"/>
    <s v="包邮"/>
    <n v="6286"/>
    <n v="7.3000000000000001E-3"/>
    <n v="8616"/>
    <n v="7.6E-3"/>
    <n v="284328"/>
    <n v="5.1000000000000004E-3"/>
    <n v="19784"/>
    <n v="56334"/>
    <n v="0.35120000000000001"/>
    <n v="19"/>
    <n v="1785"/>
    <m/>
    <m/>
    <m/>
    <s v="7天无理由|蚂蚁花呗|信用卡支付|集分宝|如实描述"/>
    <s v="广东广州"/>
    <s v="欣欣衣衣66"/>
    <d v="2014-06-18T17:03:28"/>
    <s v="3冠"/>
    <s v="4.6; 4.6; 4.5"/>
    <n v="24456"/>
    <s v="淘宝"/>
    <n v="0.98480000000000001"/>
    <s v="女装/女士精品 "/>
    <s v=" 连衣裙"/>
    <m/>
    <d v="2015-08-26T00:00:00"/>
    <d v="1899-12-30T22:00:00"/>
    <s v="3天3时50分14秒"/>
    <x v="2"/>
    <x v="0"/>
    <s v="http://item.taobao.com/item.htm?id=520091596879"/>
  </r>
  <r>
    <n v="51"/>
    <s v="第 2 页 第 3 位"/>
    <s v="2015夏季裙子女露背收腰显瘦v领抹胸修身性感雪纺无袖连衣裙短裙"/>
    <m/>
    <n v="188"/>
    <n v="0.2054"/>
    <n v="38.61"/>
    <n v="38.61"/>
    <n v="150101"/>
    <s v="包邮"/>
    <n v="6214"/>
    <n v="7.3000000000000001E-3"/>
    <n v="8671"/>
    <n v="7.6E-3"/>
    <n v="334787.31"/>
    <n v="6.1000000000000004E-3"/>
    <n v="35890"/>
    <n v="39701"/>
    <n v="0.90400000000000003"/>
    <n v="2"/>
    <n v="1491"/>
    <m/>
    <m/>
    <m/>
    <s v="卖家承诺48小时内发货|7天无理由|蚂蚁花呗|信用卡支付|集分宝|如实描述"/>
    <s v="广东广州"/>
    <s v="韩流时尚女人街"/>
    <d v="2014-02-21T14:05:36"/>
    <s v="1冠"/>
    <s v="4.7; 4.7; 4.7"/>
    <n v="5116"/>
    <s v="淘宝"/>
    <n v="0.97709999999999997"/>
    <s v="女装/女士精品 "/>
    <s v=" 连衣裙"/>
    <m/>
    <d v="2015-08-23T00:00:00"/>
    <d v="1899-12-30T19:08:14"/>
    <s v="58分28秒"/>
    <x v="5"/>
    <x v="12"/>
    <s v="http://item.taobao.com/item.htm?id=45761398641"/>
  </r>
  <r>
    <n v="52"/>
    <s v="第 2 页 第 4 位"/>
    <s v="歌兔印花连衣裙夏季长裙碎花雪纺2015夏装修身显瘦女装中长款裙子"/>
    <s v="GT15CQZ73"/>
    <n v="298"/>
    <n v="0.33189999999999997"/>
    <n v="98.9"/>
    <n v="98.9"/>
    <n v="3559"/>
    <s v="包邮"/>
    <n v="6201"/>
    <n v="7.1999999999999998E-3"/>
    <n v="7999"/>
    <n v="7.1000000000000004E-3"/>
    <n v="791101.1"/>
    <n v="1.43E-2"/>
    <n v="92930"/>
    <s v="-"/>
    <s v="-"/>
    <n v="27"/>
    <n v="17776"/>
    <m/>
    <m/>
    <m/>
    <m/>
    <s v="浙江杭州"/>
    <s v="歌兔服饰旗舰店"/>
    <d v="2013-11-14T14:29:54"/>
    <s v="5冠"/>
    <s v="4.8; 4.8; 4.8"/>
    <n v="105194"/>
    <s v="天猫"/>
    <n v="1"/>
    <s v="女装/女士精品 "/>
    <s v=" 连衣裙"/>
    <m/>
    <d v="2015-08-25T00:00:00"/>
    <d v="1899-12-30T21:00:12"/>
    <s v="2天2时50分26秒"/>
    <x v="6"/>
    <x v="2"/>
    <s v="http://item.taobao.com/item.htm?id=44630071873"/>
  </r>
  <r>
    <n v="53"/>
    <s v="第 2 页 第 5 位"/>
    <s v="欧洲站2015夏装新款韩版修身显瘦欧根纱印花背心裙子无袖连衣裙女"/>
    <s v="FM150610"/>
    <n v="588"/>
    <n v="0.26329999999999998"/>
    <n v="154.84"/>
    <n v="154.84"/>
    <n v="868"/>
    <s v="包邮"/>
    <n v="6151"/>
    <n v="7.1999999999999998E-3"/>
    <n v="8187"/>
    <n v="7.1999999999999998E-3"/>
    <n v="1267675.08"/>
    <n v="2.29E-2"/>
    <n v="68692"/>
    <n v="137617"/>
    <n v="0.49919999999999998"/>
    <n v="6"/>
    <n v="1424"/>
    <m/>
    <m/>
    <m/>
    <s v="7天无理由|蚂蚁花呗|信用卡支付|集分宝|如实描述"/>
    <s v="浙江杭州"/>
    <s v="juju899071"/>
    <d v="2010-06-13T01:01:01"/>
    <s v="3冠"/>
    <s v="4.7; 4.8; 4.7"/>
    <n v="70623"/>
    <s v="淘宝"/>
    <n v="0.97350000000000003"/>
    <s v="女装/女士精品 "/>
    <s v=" 连衣裙"/>
    <m/>
    <d v="2015-08-26T00:00:00"/>
    <d v="1899-12-30T21:56:42"/>
    <s v="3天3时46分56秒"/>
    <x v="2"/>
    <x v="2"/>
    <s v="http://item.taobao.com/item.htm?id=520465734190"/>
  </r>
  <r>
    <n v="54"/>
    <s v="第 2 页 第 6 位"/>
    <s v="欧洲站2015套装女夏女装小熊印花T背带长裙两件套连衣裙背带套装"/>
    <m/>
    <n v="84"/>
    <n v="0.39290000000000003"/>
    <n v="33"/>
    <n v="33"/>
    <n v="16545"/>
    <s v="包邮"/>
    <n v="6122"/>
    <n v="7.1999999999999998E-3"/>
    <n v="6967"/>
    <n v="6.1000000000000004E-3"/>
    <n v="229911"/>
    <n v="4.1999999999999997E-3"/>
    <n v="49316"/>
    <n v="324009"/>
    <n v="0.1522"/>
    <n v="24"/>
    <n v="12465"/>
    <m/>
    <m/>
    <m/>
    <s v="8天退货，退货邮费买家承担|蚂蚁花呗|信用卡支付|集分宝|如实描述"/>
    <s v="浙江杭州"/>
    <s v="日韩女装专铺"/>
    <d v="2012-09-08T20:44:11"/>
    <s v="3冠"/>
    <s v="4.7; 4.7; 4.6"/>
    <n v="9519"/>
    <s v="淘宝"/>
    <n v="0.97440000000000004"/>
    <s v="女装/女士精品 "/>
    <s v=" 连衣裙"/>
    <m/>
    <d v="2015-08-29T00:00:00"/>
    <d v="1899-12-30T21:01:15"/>
    <s v="6天2时51分29秒"/>
    <x v="3"/>
    <x v="2"/>
    <s v="http://item.taobao.com/item.htm?id=45617110699"/>
  </r>
  <r>
    <n v="55"/>
    <s v="第 2 页 第 7 位"/>
    <s v="卡洛莱韩版修身露肩收腰A字裙2015夏季新款女装时尚雪纺连衣裙女"/>
    <s v="KXXM572JW0"/>
    <n v="298"/>
    <n v="0.42949999999999999"/>
    <n v="128"/>
    <n v="128"/>
    <n v="15609"/>
    <s v="包邮"/>
    <n v="6067"/>
    <n v="7.1000000000000004E-3"/>
    <n v="9502"/>
    <n v="8.3999999999999995E-3"/>
    <n v="1216256"/>
    <n v="2.1999999999999999E-2"/>
    <n v="89778"/>
    <s v="-"/>
    <s v="-"/>
    <n v="19"/>
    <n v="8612"/>
    <m/>
    <m/>
    <m/>
    <m/>
    <s v="浙江杭州"/>
    <s v="卡洛莱旗舰店"/>
    <d v="2012-11-08T17:12:11"/>
    <s v="5冠"/>
    <s v="4.8; 4.8; 4.8"/>
    <n v="253048"/>
    <s v="天猫"/>
    <n v="1"/>
    <s v="女装/女士精品 "/>
    <s v=" 连衣裙"/>
    <m/>
    <d v="2015-08-28T00:00:00"/>
    <d v="1899-12-30T00:24:17"/>
    <s v="4天6时14分31秒"/>
    <x v="1"/>
    <x v="13"/>
    <s v="http://item.taobao.com/item.htm?id=45785571808"/>
  </r>
  <r>
    <n v="56"/>
    <s v="第 2 页 第 8 位"/>
    <s v="夏装新款2015韩版蕾丝欧根纱拼接网纱蓬蓬裙无袖a字裙公主连衣裙"/>
    <n v="8777"/>
    <n v="124"/>
    <n v="0.19350000000000001"/>
    <n v="24"/>
    <n v="24"/>
    <n v="28595"/>
    <s v="包邮"/>
    <n v="5970"/>
    <n v="7.0000000000000001E-3"/>
    <n v="6443"/>
    <n v="5.7000000000000002E-3"/>
    <n v="154632"/>
    <n v="2.8E-3"/>
    <n v="26010"/>
    <n v="29107"/>
    <n v="0.89359999999999995"/>
    <n v="3"/>
    <n v="2936"/>
    <m/>
    <m/>
    <m/>
    <s v="卖家承诺24小时内发货|7天无理由|集分宝|支付宝支付|如实描述"/>
    <s v="浙江杭州"/>
    <s v="天将降莲花"/>
    <d v="2013-11-08T14:32:54"/>
    <s v="5钻"/>
    <s v="4.6; 4.7; 4.6"/>
    <n v="1550"/>
    <s v="淘宝"/>
    <n v="0.98009999999999997"/>
    <s v="女装/女士精品 "/>
    <s v=" 连衣裙"/>
    <m/>
    <d v="2015-08-29T00:00:00"/>
    <d v="1899-12-30T21:50:00"/>
    <s v="6天3时40分14秒"/>
    <x v="3"/>
    <x v="2"/>
    <s v="http://item.taobao.com/item.htm?id=520323420745"/>
  </r>
  <r>
    <n v="57"/>
    <s v="第 2 页 第 9 位"/>
    <s v="2015韩版新款夏季无袖印花宽松亚麻中长款胖mm大码棉麻连衣裙 女"/>
    <m/>
    <n v="93"/>
    <n v="0.2581"/>
    <n v="24"/>
    <n v="24"/>
    <n v="74772"/>
    <s v="包邮"/>
    <n v="5969"/>
    <n v="7.0000000000000001E-3"/>
    <n v="6896"/>
    <n v="6.1000000000000004E-3"/>
    <n v="165504"/>
    <n v="3.0000000000000001E-3"/>
    <n v="42508"/>
    <n v="108832"/>
    <n v="0.3906"/>
    <n v="6"/>
    <n v="6466"/>
    <m/>
    <m/>
    <m/>
    <s v="7天无理由|蚂蚁花呗|信用卡支付|集分宝|如实描述"/>
    <s v="广东广州"/>
    <s v="zenglingxin5xx"/>
    <d v="2013-11-27T23:35:26"/>
    <s v="3冠"/>
    <s v="4.6; 4.6; 4.4"/>
    <n v="9200"/>
    <s v="淘宝"/>
    <n v="0.94899999999999995"/>
    <s v="女装/女士精品 "/>
    <s v=" 连衣裙"/>
    <m/>
    <d v="2015-08-28T00:00:00"/>
    <d v="1899-12-30T20:00:00"/>
    <s v="5天1时50分14秒"/>
    <x v="1"/>
    <x v="7"/>
    <s v="http://item.taobao.com/item.htm?id=45783442240"/>
  </r>
  <r>
    <n v="58"/>
    <s v="第 2 页 第 10 位"/>
    <s v="2015夏季新款韩版v领气质大码连衣裙雪纺拼接流苏复古中长裙女装"/>
    <m/>
    <n v="299"/>
    <n v="0.41539999999999999"/>
    <n v="124.2"/>
    <n v="124.2"/>
    <n v="543"/>
    <s v="包邮"/>
    <n v="5899"/>
    <n v="6.8999999999999999E-3"/>
    <n v="7338"/>
    <n v="6.4999999999999997E-3"/>
    <n v="911379.6"/>
    <n v="1.6500000000000001E-2"/>
    <n v="24972"/>
    <n v="98479"/>
    <n v="0.25359999999999999"/>
    <n v="4"/>
    <n v="950"/>
    <m/>
    <m/>
    <m/>
    <s v="卖家承诺7天内发货|7天无理由|蚂蚁花呗|信用卡支付|集分宝|如实描述"/>
    <s v="江苏苏州"/>
    <s v="jzjz0307"/>
    <d v="2012-10-24T18:35:38"/>
    <s v="3冠"/>
    <s v="4.7; 4.8; 4.7"/>
    <n v="54256"/>
    <s v="淘宝"/>
    <n v="0.98599999999999999"/>
    <s v="女装/女士精品 "/>
    <s v=" 连衣裙"/>
    <m/>
    <d v="2015-08-28T00:00:00"/>
    <d v="1899-12-30T16:58:32"/>
    <s v="4天22时48分46秒"/>
    <x v="1"/>
    <x v="6"/>
    <s v="http://item.taobao.com/item.htm?id=520368699812"/>
  </r>
  <r>
    <n v="59"/>
    <s v="第 2 页 第 11 位"/>
    <s v="2015夏装新款气质修身显瘦条纹波点碎花无袖连衣裙背心背带裙 潮"/>
    <n v="1403"/>
    <n v="100"/>
    <n v="0.21"/>
    <n v="21"/>
    <n v="21"/>
    <n v="102628"/>
    <s v="包邮"/>
    <n v="5883"/>
    <n v="6.8999999999999999E-3"/>
    <n v="7514"/>
    <n v="6.6E-3"/>
    <n v="157794"/>
    <n v="2.8999999999999998E-3"/>
    <n v="33448"/>
    <n v="78057"/>
    <n v="0.42849999999999999"/>
    <n v="17"/>
    <n v="5279"/>
    <m/>
    <m/>
    <m/>
    <s v="卖家承诺72小时内发货|7天无理由|蚂蚁花呗|信用卡支付|集分宝|如实描述"/>
    <s v="广东广州"/>
    <s v="优品女装团购网"/>
    <d v="2013-10-19T01:00:30"/>
    <s v="3冠"/>
    <s v="4.7; 4.7; 4.6"/>
    <n v="5620"/>
    <s v="淘宝"/>
    <n v="0.98570000000000002"/>
    <s v="女装/女士精品 "/>
    <s v=" 连衣裙"/>
    <m/>
    <d v="2015-08-28T00:00:00"/>
    <d v="1899-12-30T21:31:34"/>
    <s v="5天3时21分48秒"/>
    <x v="1"/>
    <x v="2"/>
    <s v="http://item.taobao.com/item.htm?id=45847604765"/>
  </r>
  <r>
    <n v="60"/>
    <s v="第 2 页 第 12 位"/>
    <s v="2015新款女夏装韩版直筒裙休闲大码女装宽松显瘦条纹印花连衣裙"/>
    <s v="828#"/>
    <n v="198"/>
    <n v="0.13589999999999999"/>
    <n v="26.9"/>
    <n v="26.9"/>
    <n v="21351"/>
    <s v="包邮"/>
    <n v="5773"/>
    <n v="6.7000000000000002E-3"/>
    <n v="6902"/>
    <n v="6.1000000000000004E-3"/>
    <n v="185663.8"/>
    <n v="3.3999999999999998E-3"/>
    <n v="3386"/>
    <n v="24146"/>
    <n v="0.14019999999999999"/>
    <n v="3"/>
    <n v="1654"/>
    <m/>
    <m/>
    <m/>
    <s v="卖家承诺72小时内发货|8天退货，退货邮费买家承担|集分宝|支付宝支付|如实描述"/>
    <s v="广东广州"/>
    <s v="冷雨纷飞98"/>
    <d v="2014-06-25T13:33:52"/>
    <s v="2冠"/>
    <s v="4.6; 4.7; 4.6"/>
    <n v="1181"/>
    <s v="淘宝"/>
    <n v="0.98109999999999997"/>
    <s v="女装/女士精品 "/>
    <s v=" 连衣裙"/>
    <m/>
    <d v="2015-08-27T00:00:00"/>
    <d v="1899-12-30T11:34:05"/>
    <s v="3天17时24分19秒"/>
    <x v="4"/>
    <x v="8"/>
    <s v="http://item.taobao.com/item.htm?id=520831632968"/>
  </r>
  <r>
    <n v="61"/>
    <s v="第 2 页 第 13 位"/>
    <s v="2015夏季新款韩版印花无袖大码蓬蓬裙显瘦短裙小礼服夏天连衣裙子"/>
    <m/>
    <n v="98"/>
    <n v="0.37609999999999999"/>
    <n v="36.86"/>
    <n v="36.86"/>
    <n v="54504"/>
    <s v="包邮"/>
    <n v="5719"/>
    <n v="6.7000000000000002E-3"/>
    <n v="8387"/>
    <n v="7.4000000000000003E-3"/>
    <n v="309144.82"/>
    <n v="5.5999999999999999E-3"/>
    <n v="22562"/>
    <n v="31804"/>
    <n v="0.70940000000000003"/>
    <n v="4"/>
    <n v="3372"/>
    <m/>
    <m/>
    <m/>
    <s v="7天无理由|蚂蚁花呗|信用卡支付|集分宝|如实描述"/>
    <s v="广东广州"/>
    <s v="百衣公主"/>
    <d v="2012-12-27T00:45:05"/>
    <s v="3冠"/>
    <s v="4.7; 4.7; 4.7"/>
    <n v="55638"/>
    <s v="淘宝"/>
    <n v="0.96050000000000002"/>
    <s v="女装/女士精品 "/>
    <s v=" 连衣裙"/>
    <m/>
    <d v="2015-08-26T00:00:00"/>
    <d v="1899-12-30T20:23:06"/>
    <s v="3天2时13分20秒"/>
    <x v="2"/>
    <x v="7"/>
    <s v="http://item.taobao.com/item.htm?id=520157530977"/>
  </r>
  <r>
    <n v="62"/>
    <s v="第 2 页 第 14 位"/>
    <s v="全国包邮夏装新款宽松网纱蕾丝无袖连衣裙女短裙子蓬蓬公主裙白色"/>
    <s v="XX"/>
    <n v="199"/>
    <n v="0.42780000000000001"/>
    <n v="85.14"/>
    <n v="85.14"/>
    <n v="11982"/>
    <s v="包邮"/>
    <n v="5683"/>
    <n v="6.6E-3"/>
    <n v="6341"/>
    <n v="5.5999999999999999E-3"/>
    <n v="539872.74"/>
    <n v="9.7999999999999997E-3"/>
    <n v="52046"/>
    <n v="218369"/>
    <n v="0.23830000000000001"/>
    <n v="13"/>
    <n v="3838"/>
    <m/>
    <s v="1.单笔订单满188元免运费(不包邮地区：内蒙古;黑龙江;甘肃;青海;宁夏;新疆;西藏;台湾;香港;澳门)；亲，快下手吧！"/>
    <m/>
    <s v="卖家承诺72小时内发货|7天无理由|蚂蚁花呗|信用卡支付|集分宝|如实描述"/>
    <s v="浙江杭州"/>
    <s v="蜜蜜家98"/>
    <d v="2012-09-08T17:27:35"/>
    <s v="5冠"/>
    <s v="4.8; 4.8; 4.7"/>
    <n v="304738"/>
    <s v="淘宝"/>
    <n v="0.99039999999999995"/>
    <s v="女装/女士精品 "/>
    <s v=" 连衣裙"/>
    <m/>
    <d v="2015-08-24T00:00:00"/>
    <d v="1899-12-30T10:00:00"/>
    <d v="1899-12-30T15:50:14"/>
    <x v="0"/>
    <x v="3"/>
    <s v="http://item.taobao.com/item.htm?id=520268948186"/>
  </r>
  <r>
    <n v="63"/>
    <s v="第 2 页 第 15 位"/>
    <s v="夏季新款2015夏装女装新款韩版中长款修身显瘦雪纺印花连衣裙子潮"/>
    <m/>
    <n v="316"/>
    <n v="0.495"/>
    <n v="156.41999999999999"/>
    <n v="156.41999999999999"/>
    <n v="1291"/>
    <s v="包邮"/>
    <n v="5671"/>
    <n v="6.6E-3"/>
    <n v="6281"/>
    <n v="5.4999999999999997E-3"/>
    <n v="982474.02"/>
    <n v="1.78E-2"/>
    <n v="45936"/>
    <n v="244396"/>
    <n v="0.188"/>
    <n v="9"/>
    <n v="1052"/>
    <m/>
    <m/>
    <m/>
    <s v="卖家承诺5天内发货|7天无理由|蚂蚁花呗|信用卡支付|集分宝|如实描述"/>
    <s v="浙江杭州"/>
    <s v="时尚米娜服装"/>
    <d v="2013-02-27T16:20:46"/>
    <s v="3冠"/>
    <s v="4.6; 4.7; 4.7"/>
    <n v="100922"/>
    <s v="淘宝"/>
    <n v="0.98070000000000002"/>
    <s v="女装/女士精品 "/>
    <s v=" 连衣裙"/>
    <m/>
    <d v="2015-08-30T00:00:00"/>
    <d v="1899-12-30T11:59:18"/>
    <s v="6天17时49分32秒"/>
    <x v="5"/>
    <x v="8"/>
    <s v="http://item.taobao.com/item.htm?id=520472986278"/>
  </r>
  <r>
    <n v="64"/>
    <s v="第 2 页 第 16 位"/>
    <s v="2015夏季新款韩版女装性感无袖背心裙修身短裙吊带沙滩碎花连衣裙"/>
    <n v="8607"/>
    <n v="298"/>
    <n v="0.107"/>
    <n v="31.9"/>
    <n v="31.9"/>
    <n v="28317"/>
    <s v="包邮"/>
    <n v="5612"/>
    <n v="6.6E-3"/>
    <n v="7214"/>
    <n v="6.4000000000000003E-3"/>
    <n v="230126.6"/>
    <n v="4.1999999999999997E-3"/>
    <n v="94804"/>
    <s v="-"/>
    <s v="-"/>
    <n v="82"/>
    <n v="20577"/>
    <m/>
    <s v="满148元，省5元|满248元，省10元|满348元，省20元"/>
    <m/>
    <m/>
    <s v="广东广州"/>
    <s v="芊姿铭旗舰店"/>
    <d v="2014-09-05T16:59:03"/>
    <s v="3冠"/>
    <s v="4.6; 4.7; 4.8"/>
    <n v="9395"/>
    <s v="天猫"/>
    <n v="1"/>
    <s v="女装/女士精品 "/>
    <s v=" 连衣裙"/>
    <m/>
    <d v="2015-08-28T00:00:00"/>
    <d v="1899-12-30T14:07:10"/>
    <s v="4天19时57分24秒"/>
    <x v="1"/>
    <x v="10"/>
    <s v="http://item.taobao.com/item.htm?id=44142652151"/>
  </r>
  <r>
    <n v="65"/>
    <s v="第 2 页 第 17 位"/>
    <s v="2015夏季新款韩版女装甜美学院风条纹拼色露肩可爱娃娃款连衣裙潮"/>
    <m/>
    <n v="203"/>
    <n v="0.1166"/>
    <n v="23.66"/>
    <n v="23.66"/>
    <n v="11132"/>
    <s v="包邮"/>
    <n v="5607"/>
    <n v="6.4999999999999997E-3"/>
    <n v="6731"/>
    <n v="5.8999999999999999E-3"/>
    <n v="159255.46"/>
    <n v="2.8999999999999998E-3"/>
    <n v="25206"/>
    <n v="21863"/>
    <n v="1.1529"/>
    <n v="0"/>
    <n v="2260"/>
    <m/>
    <m/>
    <m/>
    <s v="卖家承诺48小时内发货|7天无理由|集分宝|支付宝支付|如实描述"/>
    <s v="广东广州"/>
    <s v="qq395950340"/>
    <d v="2012-10-10T16:26:18"/>
    <s v="2冠"/>
    <s v="4.6; 4.6; 4.4"/>
    <n v="3193"/>
    <s v="淘宝"/>
    <n v="0.96550000000000002"/>
    <s v="女装/女士精品 "/>
    <s v=" 连衣裙"/>
    <m/>
    <d v="2015-08-24T00:00:00"/>
    <d v="1899-12-30T14:40:53"/>
    <d v="1899-12-30T20:31:07"/>
    <x v="0"/>
    <x v="10"/>
    <s v="http://item.taobao.com/item.htm?id=520355332942"/>
  </r>
  <r>
    <n v="66"/>
    <s v="第 2 页 第 18 位"/>
    <s v="2015棉麻连衣裙夏文艺复古气质显瘦大码休闲亚麻两件套装裙长裙女"/>
    <m/>
    <n v="158"/>
    <n v="0.5"/>
    <n v="79"/>
    <n v="79"/>
    <n v="7970"/>
    <s v="包邮"/>
    <n v="5516"/>
    <n v="6.4000000000000003E-3"/>
    <n v="6027"/>
    <n v="5.3E-3"/>
    <n v="476133"/>
    <n v="8.6E-3"/>
    <n v="10964"/>
    <n v="48315"/>
    <n v="0.22689999999999999"/>
    <n v="3"/>
    <n v="1729"/>
    <m/>
    <m/>
    <m/>
    <s v="7天无理由|信用卡支付|集分宝|支付宝支付|如实描述"/>
    <s v="广东广州"/>
    <s v="伊利儿服饰"/>
    <d v="2013-01-30T14:10:35"/>
    <s v="1冠"/>
    <s v="4.7; 4.7; 4.7"/>
    <n v="2329"/>
    <s v="淘宝"/>
    <n v="0.98509999999999998"/>
    <s v="女装/女士精品 "/>
    <s v=" 连衣裙"/>
    <m/>
    <d v="2015-08-28T00:00:00"/>
    <d v="1899-12-30T16:00:40"/>
    <s v="4天21时50分54秒"/>
    <x v="1"/>
    <x v="6"/>
    <s v="http://item.taobao.com/item.htm?id=520564014099"/>
  </r>
  <r>
    <n v="67"/>
    <s v="第 2 页 第 19 位"/>
    <s v="棉麻连衣裙女夏季2015夏装女装新款韩版潮中长款修身显瘦中裙裙子"/>
    <m/>
    <n v="321"/>
    <n v="9.35E-2"/>
    <n v="30"/>
    <n v="30"/>
    <n v="195892"/>
    <s v="包邮"/>
    <n v="5476"/>
    <n v="6.4000000000000003E-3"/>
    <n v="6958"/>
    <n v="6.1000000000000004E-3"/>
    <n v="208740"/>
    <n v="3.8E-3"/>
    <n v="15944"/>
    <n v="107914"/>
    <n v="0.1477"/>
    <n v="9"/>
    <n v="3809"/>
    <m/>
    <m/>
    <m/>
    <s v="卖家承诺48小时内发货|7天无理由|蚂蚁花呗|信用卡支付|集分宝|如实描述"/>
    <s v="广东广州"/>
    <s v="zhouhaizhi88"/>
    <d v="2009-03-23T16:57:59"/>
    <s v="3冠"/>
    <s v="4.6; 4.6; 4.5"/>
    <n v="14282"/>
    <s v="淘宝"/>
    <n v="0.96899999999999997"/>
    <s v="女装/女士精品 "/>
    <s v=" 连衣裙"/>
    <m/>
    <d v="2015-08-27T00:00:00"/>
    <d v="1899-12-30T17:38:05"/>
    <s v="3天23时28分19秒"/>
    <x v="4"/>
    <x v="5"/>
    <s v="http://item.taobao.com/item.htm?id=520044602048"/>
  </r>
  <r>
    <n v="68"/>
    <s v="第 2 页 第 20 位"/>
    <s v="新款V领中长款修身短袖连衣裙韩版纯色侧开叉打底t恤裙子女春夏装"/>
    <s v="T021"/>
    <n v="99"/>
    <n v="0.18790000000000001"/>
    <n v="18.600000000000001"/>
    <n v="18.600000000000001"/>
    <n v="29603"/>
    <s v="包邮"/>
    <n v="5406"/>
    <n v="6.3E-3"/>
    <n v="7248"/>
    <n v="6.4000000000000003E-3"/>
    <n v="134812.79999999999"/>
    <n v="2.3999999999999998E-3"/>
    <n v="18126"/>
    <s v="-"/>
    <s v="-"/>
    <n v="0"/>
    <n v="2744"/>
    <m/>
    <m/>
    <m/>
    <m/>
    <s v="广东广州"/>
    <s v="韩熹儿阔傲专卖店"/>
    <d v="2014-10-21T10:29:44"/>
    <s v="4冠"/>
    <s v="4.6; 4.6; 4.8"/>
    <n v="36789"/>
    <s v="天猫"/>
    <n v="1"/>
    <s v="女装/女士精品 "/>
    <s v=" 连衣裙"/>
    <m/>
    <d v="2015-08-28T00:00:00"/>
    <d v="1899-12-30T16:10:04"/>
    <s v="4天22时0分18秒"/>
    <x v="1"/>
    <x v="6"/>
    <s v="http://item.taobao.com/item.htm?id=520306305470"/>
  </r>
  <r>
    <n v="69"/>
    <s v="第 2 页 第 21 位"/>
    <s v="韩国代购2015夏装新款女装修身裙子蓬蓬A字裙中裙红色连衣裙夏季"/>
    <s v="51Q020"/>
    <n v="184"/>
    <n v="0.1467"/>
    <n v="27"/>
    <n v="27"/>
    <n v="12920"/>
    <s v="包邮"/>
    <n v="5393"/>
    <n v="6.3E-3"/>
    <n v="6992"/>
    <n v="6.1999999999999998E-3"/>
    <n v="188784"/>
    <n v="3.3999999999999998E-3"/>
    <n v="13532"/>
    <n v="12305"/>
    <n v="1.0996999999999999"/>
    <n v="3"/>
    <n v="1121"/>
    <m/>
    <m/>
    <m/>
    <s v="卖家承诺24小时内发货|7天无理由|蚂蚁花呗|集分宝|支付宝支付|如实描述"/>
    <s v="广东广州"/>
    <s v="韩韩美贞"/>
    <d v="2015-03-15T12:19:30"/>
    <s v="5钻"/>
    <s v="4.6; 4.6; 4.5"/>
    <n v="2399"/>
    <s v="淘宝"/>
    <n v="0.92510000000000003"/>
    <s v="女装/女士精品 "/>
    <s v=" 连衣裙"/>
    <m/>
    <d v="2015-08-23T00:00:00"/>
    <d v="1899-12-30T21:50:00"/>
    <d v="1899-12-30T03:40:14"/>
    <x v="5"/>
    <x v="2"/>
    <s v="http://item.taobao.com/item.htm?id=45826090664"/>
  </r>
  <r>
    <n v="70"/>
    <s v="第 2 页 第 22 位"/>
    <s v="2015夏装韩版甜美气质修身显瘦勾花镂空A字蕾丝连衣裙包臀裙短裙"/>
    <m/>
    <n v="158"/>
    <n v="0.2273"/>
    <n v="35.909999999999997"/>
    <n v="35.909999999999997"/>
    <n v="301581"/>
    <s v="包邮"/>
    <n v="5353"/>
    <n v="6.3E-3"/>
    <n v="8388"/>
    <n v="7.4000000000000003E-3"/>
    <n v="301213.08"/>
    <n v="5.4999999999999997E-3"/>
    <n v="21504"/>
    <n v="13358"/>
    <n v="1.6097999999999999"/>
    <n v="1"/>
    <n v="1125"/>
    <m/>
    <m/>
    <m/>
    <s v="卖家承诺20小时内发货|8天退货，退货邮费卖家承担|蚂蚁花呗|信用卡支付|集分宝|如实描述"/>
    <s v="广东广州"/>
    <s v="xiaols24"/>
    <d v="2012-11-16T14:58:41"/>
    <s v="2冠"/>
    <s v="4.5; 4.5; 4.4"/>
    <n v="5432"/>
    <s v="淘宝"/>
    <n v="0.9788"/>
    <s v="女装/女士精品 "/>
    <s v=" 连衣裙"/>
    <m/>
    <d v="2015-08-29T00:00:00"/>
    <d v="1899-12-30T23:20:00"/>
    <s v="6天5时10分14秒"/>
    <x v="3"/>
    <x v="4"/>
    <s v="http://item.taobao.com/item.htm?id=520599060645"/>
  </r>
  <r>
    <n v="71"/>
    <s v="第 2 页 第 23 位"/>
    <s v="2015夏季大码修身中长款短袖T恤连衣裙短裙女装韩版显瘦横条纹潮"/>
    <s v="L0001"/>
    <n v="69"/>
    <n v="0.24490000000000001"/>
    <n v="16.899999999999999"/>
    <n v="16.899999999999999"/>
    <n v="12015"/>
    <s v="包邮"/>
    <n v="5347"/>
    <n v="6.1999999999999998E-3"/>
    <n v="6557"/>
    <n v="5.7999999999999996E-3"/>
    <n v="110813.3"/>
    <n v="2E-3"/>
    <n v="3850"/>
    <s v="-"/>
    <s v="-"/>
    <n v="0"/>
    <n v="3237"/>
    <m/>
    <m/>
    <m/>
    <m/>
    <s v="广东揭阳"/>
    <s v="沃茨凯旗舰店"/>
    <d v="2014-09-05T15:54:52"/>
    <s v="5钻"/>
    <s v="4.8; 4.8; 4.8"/>
    <n v="748"/>
    <s v="天猫"/>
    <n v="1"/>
    <s v="女装/女士精品 "/>
    <s v=" 连衣裙"/>
    <m/>
    <d v="2015-08-23T00:00:00"/>
    <d v="1899-12-30T23:15:13"/>
    <d v="1899-12-30T05:05:27"/>
    <x v="5"/>
    <x v="4"/>
    <s v="http://item.taobao.com/item.htm?id=520887827453"/>
  </r>
  <r>
    <n v="72"/>
    <s v="第 2 页 第 24 位"/>
    <s v="欧洲站2015春夏款圆领无袖背心修身A字百褶镂空蓬蓬连衣裙短长裙"/>
    <m/>
    <n v="368"/>
    <n v="0.1235"/>
    <n v="45.44"/>
    <n v="45.44"/>
    <n v="16592"/>
    <s v="包邮"/>
    <n v="5307"/>
    <n v="6.1999999999999998E-3"/>
    <n v="7632"/>
    <n v="6.7000000000000002E-3"/>
    <n v="346798.08000000002"/>
    <n v="6.3E-3"/>
    <n v="17666"/>
    <n v="22597"/>
    <n v="0.78180000000000005"/>
    <n v="1"/>
    <n v="2554"/>
    <m/>
    <m/>
    <m/>
    <s v="7天无理由|蚂蚁花呗|信用卡支付|集分宝|如实描述"/>
    <s v="浙江杭州"/>
    <s v="潮流前线8838"/>
    <d v="2014-10-18T22:48:32"/>
    <s v="5钻"/>
    <s v="4.8; 4.8; 4.7"/>
    <n v="2013"/>
    <s v="淘宝"/>
    <n v="0.98650000000000004"/>
    <s v="女装/女士精品 "/>
    <s v=" 连衣裙"/>
    <m/>
    <d v="2015-08-25T00:00:00"/>
    <d v="1899-12-30T21:00:00"/>
    <s v="2天2时50分14秒"/>
    <x v="6"/>
    <x v="2"/>
    <s v="http://item.taobao.com/item.htm?id=45537007717"/>
  </r>
  <r>
    <n v="73"/>
    <s v="第 2 页 第 25 位"/>
    <s v="15夏季短袖条纹显瘦性感包臀短裙修身中长款针织时尚气质连衣裙女"/>
    <m/>
    <n v="234.9"/>
    <n v="0.126"/>
    <n v="29.6"/>
    <n v="29.6"/>
    <n v="36674"/>
    <s v="包邮"/>
    <n v="5268"/>
    <n v="6.1999999999999998E-3"/>
    <n v="13706"/>
    <n v="1.21E-2"/>
    <n v="405697.6"/>
    <n v="7.3000000000000001E-3"/>
    <n v="46006"/>
    <n v="12477"/>
    <n v="3.6873"/>
    <n v="0"/>
    <n v="282"/>
    <m/>
    <m/>
    <m/>
    <s v="7天无理由|蚂蚁花呗|信用卡支付|集分宝|如实描述"/>
    <s v="广东广州"/>
    <s v="尕琳shop"/>
    <d v="2014-12-05T17:12:41"/>
    <s v="2冠"/>
    <s v="4.6; 4.7; 4.6"/>
    <n v="4851"/>
    <s v="淘宝"/>
    <n v="0.98560000000000003"/>
    <s v="女装/女士精品 "/>
    <s v=" 连衣裙"/>
    <m/>
    <d v="2015-08-29T00:00:00"/>
    <d v="1899-12-30T15:30:00"/>
    <s v="5天21时20分14秒"/>
    <x v="3"/>
    <x v="1"/>
    <s v="http://item.taobao.com/item.htm?id=520726643134"/>
  </r>
  <r>
    <n v="74"/>
    <s v="第 2 页 第 26 位"/>
    <s v="2015夏季新款女装修身蕾丝拼接雪纺连衣裙显瘦假两件无袖连衣裙女"/>
    <m/>
    <n v="59.88"/>
    <n v="0.39479999999999998"/>
    <n v="23.64"/>
    <n v="23.64"/>
    <n v="39844"/>
    <s v="包邮"/>
    <n v="5237"/>
    <n v="6.1000000000000004E-3"/>
    <n v="5674"/>
    <n v="5.0000000000000001E-3"/>
    <n v="134133.35999999999"/>
    <n v="2.3999999999999998E-3"/>
    <n v="18988"/>
    <n v="52742"/>
    <n v="0.36"/>
    <n v="6"/>
    <n v="2489"/>
    <m/>
    <m/>
    <m/>
    <s v="7天无理由|集分宝|支付宝支付|如实描述"/>
    <s v="广东广州"/>
    <s v="李大嘴潮流坊"/>
    <d v="2014-06-22T16:30:05"/>
    <s v="4冠"/>
    <s v="4.5; 4.6; 4.5"/>
    <n v="7102"/>
    <s v="淘宝"/>
    <n v="0.96989999999999998"/>
    <s v="女装/女士精品 "/>
    <s v=" 连衣裙"/>
    <m/>
    <d v="2015-08-25T00:00:00"/>
    <d v="1899-12-30T21:35:00"/>
    <s v="2天3时25分14秒"/>
    <x v="6"/>
    <x v="2"/>
    <s v="http://item.taobao.com/item.htm?id=520373990716"/>
  </r>
  <r>
    <n v="75"/>
    <s v="第 2 页 第 27 位"/>
    <s v="2015夏装裙子性感短裙夏季女装中裙蕾丝拼接雪纺中长款短袖连衣裙"/>
    <m/>
    <n v="69"/>
    <n v="0.39129999999999998"/>
    <n v="27"/>
    <n v="27"/>
    <n v="78423"/>
    <s v="包邮"/>
    <n v="5168"/>
    <n v="6.0000000000000001E-3"/>
    <n v="5809"/>
    <n v="5.1000000000000004E-3"/>
    <n v="156843"/>
    <n v="2.8E-3"/>
    <n v="8752"/>
    <n v="23268"/>
    <n v="0.37609999999999999"/>
    <n v="36"/>
    <n v="1226"/>
    <m/>
    <m/>
    <m/>
    <s v="7天无理由|蚂蚁花呗|信用卡支付|集分宝|如实描述"/>
    <s v="浙江杭州"/>
    <s v="韩恋衣柜"/>
    <d v="2013-08-23T21:20:54"/>
    <s v="2冠"/>
    <s v="4.6; 4.6; 4.5"/>
    <n v="4590"/>
    <s v="淘宝"/>
    <n v="0.9224"/>
    <s v="女装/女士精品 "/>
    <s v=" 连衣裙"/>
    <m/>
    <d v="2015-08-25T00:00:00"/>
    <d v="1899-12-30T16:46:27"/>
    <s v="1天22时36分41秒"/>
    <x v="6"/>
    <x v="6"/>
    <s v="http://item.taobao.com/item.htm?id=520373202665"/>
  </r>
  <r>
    <n v="76"/>
    <s v="第 2 页 第 28 位"/>
    <s v="欧洲站2015夏装磨破拼皮牛仔背带裙夏显瘦复古牛仔背带裙连衣裙潮"/>
    <m/>
    <n v="399"/>
    <n v="0.1464"/>
    <n v="58.41"/>
    <n v="58.41"/>
    <n v="67124"/>
    <s v="包邮"/>
    <n v="5156"/>
    <n v="6.0000000000000001E-3"/>
    <n v="10355"/>
    <n v="9.1000000000000004E-3"/>
    <n v="604835.55000000005"/>
    <n v="1.09E-2"/>
    <n v="21986"/>
    <n v="18721"/>
    <n v="1.1744000000000001"/>
    <n v="0"/>
    <n v="1090"/>
    <m/>
    <m/>
    <m/>
    <s v="7天无理由|蚂蚁花呗|信用卡支付|集分宝|如实描述"/>
    <s v="广东深圳"/>
    <s v="coco小新娘"/>
    <d v="2013-04-13T17:53:49"/>
    <s v="2冠"/>
    <s v="4.7; 4.7; 4.6"/>
    <n v="3887"/>
    <s v="淘宝"/>
    <n v="0.9829"/>
    <s v="女装/女士精品 "/>
    <s v=" 连衣裙"/>
    <m/>
    <d v="2015-08-25T00:00:00"/>
    <d v="1899-12-30T22:37:20"/>
    <s v="2天4时27分34秒"/>
    <x v="6"/>
    <x v="0"/>
    <s v="http://item.taobao.com/item.htm?id=520521574957"/>
  </r>
  <r>
    <n v="77"/>
    <s v="第 2 页 第 29 位"/>
    <s v="2015夏装新款大码女装森女文艺小清新樱桃印花棉麻短袖宽松连衣裙"/>
    <n v="1"/>
    <n v="128"/>
    <n v="0.34449999999999997"/>
    <n v="44.1"/>
    <n v="44.1"/>
    <n v="17097"/>
    <s v="包邮"/>
    <n v="5113"/>
    <n v="6.0000000000000001E-3"/>
    <n v="5813"/>
    <n v="5.1000000000000004E-3"/>
    <n v="256353.3"/>
    <n v="4.5999999999999999E-3"/>
    <n v="25624"/>
    <n v="89523"/>
    <n v="0.28620000000000001"/>
    <n v="8"/>
    <n v="4018"/>
    <m/>
    <m/>
    <m/>
    <s v="8天退货，退货邮费买家承担|蚂蚁花呗|集分宝|支付宝支付|如实描述"/>
    <s v="广东广州"/>
    <s v="试居谪诹7422"/>
    <d v="2015-03-02T13:47:12"/>
    <s v="1冠"/>
    <s v="4.8; 4.8; 4.8"/>
    <n v="8779"/>
    <s v="淘宝"/>
    <n v="0.9899"/>
    <s v="女装/女士精品 "/>
    <s v=" 连衣裙"/>
    <m/>
    <d v="2015-08-26T00:00:00"/>
    <d v="1899-12-30T21:40:00"/>
    <s v="3天3时30分14秒"/>
    <x v="2"/>
    <x v="2"/>
    <s v="http://item.taobao.com/item.htm?id=520153511262"/>
  </r>
  <r>
    <n v="78"/>
    <s v="第 2 页 第 30 位"/>
    <s v="2015夏季新款韩版修身显瘦休闲无袖连衣裙女装两件套背带裙套装裙"/>
    <s v="GNDL0189"/>
    <n v="108"/>
    <n v="0.2361"/>
    <n v="25.5"/>
    <n v="25.5"/>
    <n v="52142"/>
    <s v="包邮"/>
    <n v="5081"/>
    <n v="5.8999999999999999E-3"/>
    <n v="6232"/>
    <n v="5.4999999999999997E-3"/>
    <n v="158916"/>
    <n v="2.8999999999999998E-3"/>
    <n v="12878"/>
    <s v="-"/>
    <s v="-"/>
    <n v="1"/>
    <n v="3836"/>
    <m/>
    <m/>
    <m/>
    <m/>
    <s v="浙江杭州"/>
    <s v="古妮迪莎伦维专卖店"/>
    <d v="2014-05-09T17:00:16"/>
    <s v="4冠"/>
    <s v="4.6; 4.6; 4.7"/>
    <n v="38609"/>
    <s v="天猫"/>
    <n v="1"/>
    <s v="女装/女士精品 "/>
    <s v=" 连衣裙"/>
    <m/>
    <d v="2015-08-30T00:00:00"/>
    <d v="1899-12-30T13:08:47"/>
    <s v="6天18时59分1秒"/>
    <x v="5"/>
    <x v="14"/>
    <s v="http://item.taobao.com/item.htm?id=45903964105"/>
  </r>
  <r>
    <n v="79"/>
    <s v="第 2 页 第 31 位"/>
    <s v="包邮2015春夏新款妈妈装 中老年女装冰丝连衣裙 中年大码碎花裙子"/>
    <s v="方块连衣裙"/>
    <n v="68"/>
    <n v="0.2737"/>
    <n v="18.61"/>
    <n v="18.61"/>
    <n v="99700"/>
    <s v="包邮"/>
    <n v="5056"/>
    <n v="5.8999999999999999E-3"/>
    <n v="9514"/>
    <n v="8.3999999999999995E-3"/>
    <n v="177055.54"/>
    <n v="3.2000000000000002E-3"/>
    <n v="30774"/>
    <n v="1428767"/>
    <n v="2.1499999999999998E-2"/>
    <n v="552"/>
    <n v="9531"/>
    <m/>
    <m/>
    <m/>
    <s v="7天无理由|蚂蚁花呗|信用卡支付|集分宝|如实描述"/>
    <s v="北京"/>
    <s v="控心丶sorrow"/>
    <d v="2013-04-17T14:34:27"/>
    <s v="4冠"/>
    <s v="4.8; 4.8; 4.7"/>
    <n v="4988"/>
    <s v="淘宝"/>
    <n v="0.98380000000000001"/>
    <s v="女装/女士精品 "/>
    <s v=" 连衣裙"/>
    <m/>
    <d v="2015-08-28T00:00:00"/>
    <d v="1899-12-30T14:40:45"/>
    <s v="4天20时30分59秒"/>
    <x v="1"/>
    <x v="10"/>
    <s v="http://item.taobao.com/item.htm?id=20272763953"/>
  </r>
  <r>
    <n v="80"/>
    <s v="第 2 页 第 32 位"/>
    <s v="2015春夏新款韩版长裙连衣裙欧美莫代尔背心裙波西米亚长款连体裙"/>
    <m/>
    <n v="38"/>
    <n v="0.5"/>
    <n v="19"/>
    <n v="19"/>
    <n v="125798"/>
    <s v="包邮"/>
    <n v="4995"/>
    <n v="5.7999999999999996E-3"/>
    <n v="7123"/>
    <n v="6.3E-3"/>
    <n v="135337"/>
    <n v="2.5000000000000001E-3"/>
    <n v="72920"/>
    <n v="215976"/>
    <n v="0.33760000000000001"/>
    <n v="21"/>
    <n v="13823"/>
    <m/>
    <m/>
    <m/>
    <s v="卖家承诺24小时内发货|7天无理由|蚂蚁花呗|信用卡支付|集分宝|如实描述"/>
    <s v="江苏徐州"/>
    <s v="聚光帝"/>
    <d v="2011-01-08T02:28:59"/>
    <s v="4冠"/>
    <s v="4.7; 4.7; 4.7"/>
    <n v="16171"/>
    <s v="淘宝"/>
    <n v="0.97529999999999994"/>
    <s v="女装/女士精品 "/>
    <s v=" 连衣裙"/>
    <m/>
    <d v="2015-08-29T00:00:00"/>
    <d v="1899-12-30T22:34:37"/>
    <s v="6天4时24分51秒"/>
    <x v="3"/>
    <x v="0"/>
    <s v="http://item.taobao.com/item.htm?id=18505173189"/>
  </r>
  <r>
    <n v="81"/>
    <s v="第 2 页 第 33 位"/>
    <s v="夏人造棉印花碎花棉绸波西米亚沙滩裙度假裙长裙无袖背心裙连衣裙"/>
    <m/>
    <n v="129"/>
    <n v="0.18990000000000001"/>
    <n v="24.5"/>
    <n v="24.5"/>
    <n v="7129"/>
    <s v="包邮"/>
    <n v="4987"/>
    <n v="5.7999999999999996E-3"/>
    <n v="7002"/>
    <n v="6.1999999999999998E-3"/>
    <n v="171549"/>
    <n v="3.0999999999999999E-3"/>
    <n v="16788"/>
    <n v="40202"/>
    <n v="0.41760000000000003"/>
    <n v="3"/>
    <n v="2285"/>
    <m/>
    <m/>
    <m/>
    <s v="7天无理由|蚂蚁花呗|信用卡支付|集分宝|如实描述"/>
    <s v="广东广州"/>
    <s v="夏衣唯美"/>
    <d v="2013-04-12T20:41:16"/>
    <s v="2冠"/>
    <s v="4.7; 4.7; 4.6"/>
    <n v="4575"/>
    <s v="淘宝"/>
    <n v="0.98109999999999997"/>
    <s v="女装/女士精品 "/>
    <s v=" 连衣裙"/>
    <m/>
    <d v="2015-08-27T00:00:00"/>
    <d v="1899-12-30T21:35:25"/>
    <s v="4天3时25分39秒"/>
    <x v="4"/>
    <x v="2"/>
    <s v="http://item.taobao.com/item.htm?id=520079956508"/>
  </r>
  <r>
    <n v="82"/>
    <s v="第 2 页 第 34 位"/>
    <s v="夏季连衣裙2015新款韩版大码女装T恤裙宽松字母简约修身无袖长裙"/>
    <m/>
    <n v="118"/>
    <n v="0.16750000000000001"/>
    <n v="19.760000000000002"/>
    <n v="19.760000000000002"/>
    <n v="26080"/>
    <s v="包邮"/>
    <n v="4964"/>
    <n v="5.7999999999999996E-3"/>
    <n v="6224"/>
    <n v="5.4999999999999997E-3"/>
    <n v="122986.24000000001"/>
    <n v="2.2000000000000001E-3"/>
    <n v="16836"/>
    <n v="19941"/>
    <n v="0.84430000000000005"/>
    <n v="6"/>
    <n v="2419"/>
    <m/>
    <m/>
    <m/>
    <s v="卖家承诺48小时内发货|8天退货，退货邮费买家承担|蚂蚁花呗|集分宝|支付宝支付|如实描述"/>
    <s v="广东肇庆"/>
    <s v="辉茵阁02"/>
    <d v="2015-04-09T21:36:22"/>
    <s v="1冠"/>
    <s v="4.7; 4.7; 4.6"/>
    <n v="3950"/>
    <s v="淘宝"/>
    <n v="0.9395"/>
    <s v="女装/女士精品 "/>
    <s v=" 连衣裙"/>
    <m/>
    <d v="2015-08-24T00:00:00"/>
    <d v="1899-12-30T22:35:00"/>
    <s v="1天4时25分14秒"/>
    <x v="0"/>
    <x v="0"/>
    <s v="http://item.taobao.com/item.htm?id=520233829503"/>
  </r>
  <r>
    <n v="83"/>
    <s v="第 2 页 第 35 位"/>
    <s v="连衣裙夏季女2015新款棉绸沙滩裙无袖吊带裙夏波西米亚短裙度假裙"/>
    <n v="8001"/>
    <n v="58"/>
    <n v="0.495"/>
    <n v="28.71"/>
    <n v="28.71"/>
    <n v="8771"/>
    <s v="包邮"/>
    <n v="4949"/>
    <n v="5.7999999999999996E-3"/>
    <n v="6437"/>
    <n v="5.7000000000000002E-3"/>
    <n v="184806.27"/>
    <n v="3.3E-3"/>
    <n v="21754"/>
    <n v="60003"/>
    <n v="0.36249999999999999"/>
    <n v="8"/>
    <n v="3448"/>
    <m/>
    <m/>
    <m/>
    <s v="卖家承诺48小时内发货|8天退货，退货邮费买家承担|蚂蚁花呗|信用卡支付|集分宝|如实描述"/>
    <s v="广东广州"/>
    <s v="jiawdetaobao"/>
    <d v="2013-02-23T17:26:15"/>
    <s v="2冠"/>
    <s v="4.8; 4.8; 4.7"/>
    <n v="9958"/>
    <s v="淘宝"/>
    <n v="0.9556"/>
    <s v="女装/女士精品 "/>
    <s v=" 连衣裙"/>
    <m/>
    <d v="2015-08-27T00:00:00"/>
    <d v="1899-12-30T22:42:50"/>
    <s v="4天4时33分4秒"/>
    <x v="4"/>
    <x v="0"/>
    <s v="http://item.taobao.com/item.htm?id=44498365146"/>
  </r>
  <r>
    <n v="84"/>
    <s v="第 2 页 第 36 位"/>
    <s v="夏装新款连衣裙森女日系刺绣收腰中长款裙子小清新棉麻短袖学生裙"/>
    <m/>
    <n v="72"/>
    <n v="0.5"/>
    <n v="36"/>
    <n v="36"/>
    <n v="66722"/>
    <s v="包邮"/>
    <n v="4908"/>
    <n v="5.7000000000000002E-3"/>
    <n v="6437"/>
    <n v="5.7000000000000002E-3"/>
    <n v="231732"/>
    <n v="4.1999999999999997E-3"/>
    <n v="46600"/>
    <n v="532697"/>
    <n v="8.7499999999999994E-2"/>
    <n v="27"/>
    <n v="6488"/>
    <m/>
    <s v="1.单笔订单满88元减3元；免运费；减后满88元，送礼物，送3.00元优惠卷，亲，快下手吧！|2.单笔订单满128元减5元；免运费；减后满128元，送礼物，送5.00元优惠卷，亲，快下手吧！|3.单笔订单满388元减10元；免运费；减后满388元，送礼物，送10.00元优惠卷，亲，快下手吧！"/>
    <m/>
    <s v="7天无理由|蚂蚁花呗|信用卡支付|集分宝|如实描述"/>
    <s v="浙江杭州"/>
    <s v="us时尚风阁"/>
    <d v="2014-03-19T00:21:03"/>
    <s v="3冠"/>
    <s v="4.7; 4.7; 4.5"/>
    <n v="11208"/>
    <s v="淘宝"/>
    <n v="0.97929999999999995"/>
    <s v="女装/女士精品 "/>
    <s v=" 连衣裙"/>
    <m/>
    <d v="2015-08-23T00:00:00"/>
    <d v="1899-12-30T21:00:00"/>
    <d v="1899-12-30T02:50:14"/>
    <x v="5"/>
    <x v="2"/>
    <s v="http://item.taobao.com/item.htm?id=45615417292"/>
  </r>
  <r>
    <n v="85"/>
    <s v="第 2 页 第 37 位"/>
    <s v="彩黛妃2015春夏装新款时尚韩版修身大码镂空拼接短袖连衣裙T0756"/>
    <s v="T0756"/>
    <n v="128"/>
    <n v="0.1547"/>
    <n v="19.8"/>
    <n v="19.8"/>
    <n v="387139"/>
    <s v="包邮"/>
    <n v="4908"/>
    <n v="5.7000000000000002E-3"/>
    <n v="6891"/>
    <n v="6.1000000000000004E-3"/>
    <n v="136441.79999999999"/>
    <n v="2.5000000000000001E-3"/>
    <n v="59732"/>
    <s v="-"/>
    <s v="-"/>
    <n v="2205"/>
    <n v="38147"/>
    <m/>
    <m/>
    <m/>
    <m/>
    <s v="江苏宿迁"/>
    <s v="彩黛妃旗舰店"/>
    <d v="2014-03-25T10:48:46"/>
    <s v="1金冠"/>
    <s v="4.6; 4.6; 4.8"/>
    <n v="308260"/>
    <s v="天猫"/>
    <n v="1"/>
    <s v="女装/女士精品 "/>
    <s v=" 连衣裙"/>
    <m/>
    <d v="2015-08-29T00:00:00"/>
    <d v="1899-12-30T11:20:16"/>
    <s v="5天17时10分30秒"/>
    <x v="3"/>
    <x v="8"/>
    <s v="http://item.taobao.com/item.htm?id=39586932993"/>
  </r>
  <r>
    <n v="86"/>
    <s v="第 2 页 第 38 位"/>
    <s v="2015夏季森女无袖背心连衣裙小清新甜美学生短裙子蕾丝花朵闺蜜装"/>
    <m/>
    <n v="121"/>
    <n v="0.19009999999999999"/>
    <n v="23"/>
    <n v="23"/>
    <n v="33156"/>
    <s v="包邮"/>
    <n v="4900"/>
    <n v="5.7000000000000002E-3"/>
    <n v="6434"/>
    <n v="5.7000000000000002E-3"/>
    <n v="147982"/>
    <n v="2.7000000000000001E-3"/>
    <n v="28646"/>
    <n v="39909"/>
    <n v="0.71779999999999999"/>
    <n v="3"/>
    <n v="1195"/>
    <m/>
    <m/>
    <m/>
    <s v="7天无理由|集分宝|支付宝支付|如实描述"/>
    <s v="广东广州"/>
    <s v="茴香依依"/>
    <d v="2015-05-23T21:11:46"/>
    <s v="4钻"/>
    <s v="4.5; 4.5; 4.4"/>
    <n v="1988"/>
    <s v="淘宝"/>
    <n v="0.96719999999999995"/>
    <s v="女装/女士精品 "/>
    <s v=" 连衣裙"/>
    <m/>
    <d v="2015-08-29T00:00:00"/>
    <d v="1899-12-30T22:14:29"/>
    <s v="6天4时4分43秒"/>
    <x v="3"/>
    <x v="0"/>
    <s v="http://item.taobao.com/item.htm?id=520436013104"/>
  </r>
  <r>
    <n v="87"/>
    <s v="第 2 页 第 39 位"/>
    <s v="2015夏秋季新品女装雪纺两件套套装裙气质性感修身包臀开叉连衣裙"/>
    <s v="A1689"/>
    <n v="369"/>
    <n v="0.187"/>
    <n v="69"/>
    <n v="69"/>
    <n v="42052"/>
    <s v="包邮"/>
    <n v="4878"/>
    <n v="5.7000000000000002E-3"/>
    <n v="7059"/>
    <n v="6.1999999999999998E-3"/>
    <n v="487071"/>
    <n v="8.8000000000000005E-3"/>
    <n v="37910"/>
    <n v="44020"/>
    <n v="0.86119999999999997"/>
    <n v="3"/>
    <n v="751"/>
    <m/>
    <m/>
    <m/>
    <s v="7天无理由|蚂蚁花呗|信用卡支付|集分宝|如实描述"/>
    <s v="广东广州"/>
    <s v="艾薇妮露"/>
    <d v="2013-05-20T15:23:32"/>
    <s v="1冠"/>
    <s v="4.7; 4.7; 4.6"/>
    <n v="10944"/>
    <s v="淘宝"/>
    <n v="0.99"/>
    <s v="女装/女士精品 "/>
    <s v=" 连衣裙"/>
    <m/>
    <d v="2015-08-26T00:00:00"/>
    <d v="1899-12-30T20:22:04"/>
    <s v="3天2时12分18秒"/>
    <x v="2"/>
    <x v="7"/>
    <s v="http://item.taobao.com/item.htm?id=520677973804"/>
  </r>
  <r>
    <n v="88"/>
    <s v="第 2 页 第 40 位"/>
    <s v="两件套连衣裙夏季中裙韩版新款印花短袖雪纺套装修身蕾丝女装裙子"/>
    <m/>
    <n v="88"/>
    <n v="0.46589999999999998"/>
    <n v="41"/>
    <n v="41"/>
    <n v="32340"/>
    <s v="包邮"/>
    <n v="4872"/>
    <n v="5.7000000000000002E-3"/>
    <n v="6927"/>
    <n v="6.1000000000000004E-3"/>
    <n v="284007"/>
    <n v="5.1000000000000004E-3"/>
    <n v="13404"/>
    <n v="88323"/>
    <n v="0.15179999999999999"/>
    <n v="9"/>
    <n v="753"/>
    <m/>
    <m/>
    <m/>
    <s v="卖家承诺24小时内发货|15天退货，退货邮费买家承担|蚂蚁花呗|信用卡支付|集分宝|如实描述"/>
    <s v="广东广州"/>
    <s v="完美_衣恋"/>
    <d v="2013-05-26T21:12:20"/>
    <s v="2冠"/>
    <s v="4.7; 4.7; 4.7"/>
    <n v="4809"/>
    <s v="淘宝"/>
    <n v="0.98929999999999996"/>
    <s v="女装/女士精品 "/>
    <s v=" 连衣裙"/>
    <m/>
    <d v="2015-08-25T00:00:00"/>
    <d v="1899-12-30T21:05:00"/>
    <s v="2天2时55分14秒"/>
    <x v="6"/>
    <x v="2"/>
    <s v="http://item.taobao.com/item.htm?id=520501401676"/>
  </r>
  <r>
    <n v="89"/>
    <s v="第 2 页 第 41 位"/>
    <s v="毛菇小象 牛仔背带连衣裙2015夏女吊带背心裙子修身显瘦秋装中裙"/>
    <s v="G1146"/>
    <n v="196"/>
    <n v="0.5"/>
    <n v="98"/>
    <n v="98"/>
    <n v="35638"/>
    <n v="5"/>
    <n v="4850"/>
    <n v="5.7000000000000002E-3"/>
    <n v="6063"/>
    <n v="5.3E-3"/>
    <n v="594174"/>
    <n v="1.0800000000000001E-2"/>
    <n v="61312"/>
    <n v="107428"/>
    <n v="0.57069999999999999"/>
    <n v="112"/>
    <n v="2437"/>
    <m/>
    <s v="1.单笔订单满168元免运费(不包邮地区：内蒙古;甘肃;青海;宁夏;新疆;西藏;台湾;香港;澳门;海外)，上不封顶！亲，快下手吧！"/>
    <m/>
    <s v="卖家承诺15天内发货|7天无理由|蚂蚁花呗|信用卡支付|集分宝|如实描述"/>
    <s v="浙江杭州"/>
    <s v="毛菇小象"/>
    <d v="2010-12-27T11:08:16"/>
    <s v="4金冠"/>
    <s v="4.7; 4.8; 4.7"/>
    <n v="5888612"/>
    <s v="淘宝"/>
    <n v="0.99129999999999996"/>
    <s v="女装/女士精品 "/>
    <s v=" 连衣裙"/>
    <m/>
    <d v="2015-08-24T00:00:00"/>
    <d v="1899-12-30T22:09:02"/>
    <s v="1天3时59分16秒"/>
    <x v="0"/>
    <x v="0"/>
    <s v="http://item.taobao.com/item.htm?id=45376149752"/>
  </r>
  <r>
    <n v="90"/>
    <s v="第 2 页 第 42 位"/>
    <s v="jto 夏装新款韩版欧根纱连衣裙短袖波点两件套高腰蓬蓬裙女071425"/>
    <m/>
    <n v="110"/>
    <n v="0.8"/>
    <n v="88"/>
    <n v="88"/>
    <n v="1609"/>
    <s v="包邮"/>
    <n v="4772"/>
    <n v="5.5999999999999999E-3"/>
    <n v="4984"/>
    <n v="4.4000000000000003E-3"/>
    <n v="438592"/>
    <n v="7.9000000000000008E-3"/>
    <n v="62594"/>
    <n v="78023"/>
    <n v="0.80230000000000001"/>
    <n v="0"/>
    <n v="1316"/>
    <m/>
    <s v="1.单笔订单满199元免运费(不包邮地区：内蒙古;黑龙江;甘肃;青海;新疆;西藏;台湾;香港;澳门;海外)，亲，快下手吧！"/>
    <m/>
    <s v="卖家承诺10天内发货|7天无理由|蚂蚁花呗|信用卡支付|集分宝|如实描述"/>
    <s v="浙江杭州"/>
    <s v="zjforeverxxxx"/>
    <d v="2008-07-14T22:11:30"/>
    <s v="2金冠"/>
    <s v="4.6; 4.7; 4.7"/>
    <n v="1458842"/>
    <s v="淘宝"/>
    <n v="0.98819999999999997"/>
    <s v="女装/女士精品 "/>
    <s v=" 连衣裙"/>
    <m/>
    <d v="2015-08-23T00:00:00"/>
    <d v="1899-12-30T21:47:22"/>
    <d v="1899-12-30T03:37:36"/>
    <x v="5"/>
    <x v="2"/>
    <s v="http://item.taobao.com/item.htm?id=520610422686"/>
  </r>
  <r>
    <n v="91"/>
    <s v="第 2 页 第 43 位"/>
    <s v="欧洲站2015夏季新款字母印花连帽修身海军风卫衣连衣裙大码女中裙"/>
    <n v="335"/>
    <n v="388"/>
    <n v="0.33250000000000002"/>
    <n v="129"/>
    <n v="129"/>
    <n v="40139"/>
    <s v="包邮"/>
    <n v="4757"/>
    <n v="5.5999999999999999E-3"/>
    <n v="5004"/>
    <n v="4.4000000000000003E-3"/>
    <n v="645516"/>
    <n v="1.17E-2"/>
    <n v="6758"/>
    <n v="14854"/>
    <n v="0.45500000000000002"/>
    <n v="0"/>
    <n v="1909"/>
    <m/>
    <m/>
    <m/>
    <s v="卖家承诺72小时内发货|7天无理由|蚂蚁花呗|信用卡支付|集分宝|如实描述"/>
    <s v="广东深圳"/>
    <s v="粉黛尔女装829"/>
    <d v="2012-10-26T20:06:29"/>
    <s v="3冠"/>
    <s v="4.7; 4.7; 4.7"/>
    <n v="38588"/>
    <s v="淘宝"/>
    <n v="0.99299999999999999"/>
    <s v="女装/女士精品 "/>
    <s v=" 连衣裙"/>
    <m/>
    <d v="2015-08-25T00:00:00"/>
    <d v="1899-12-30T10:14:39"/>
    <s v="1天16时4分53秒"/>
    <x v="6"/>
    <x v="3"/>
    <s v="http://item.taobao.com/item.htm?id=44953419115"/>
  </r>
  <r>
    <n v="92"/>
    <s v="第 2 页 第 44 位"/>
    <s v="2015夏季新款韩版女装连衣裙显瘦吊带裙无袖宽松破洞牛仔背带裙潮"/>
    <m/>
    <n v="163"/>
    <n v="0.31900000000000001"/>
    <n v="52"/>
    <n v="52"/>
    <n v="9678"/>
    <s v="包邮"/>
    <n v="4733"/>
    <n v="5.4999999999999997E-3"/>
    <n v="5855"/>
    <n v="5.1999999999999998E-3"/>
    <n v="304460"/>
    <n v="5.4999999999999997E-3"/>
    <n v="22470"/>
    <n v="55797"/>
    <n v="0.4027"/>
    <n v="6"/>
    <n v="3080"/>
    <m/>
    <m/>
    <m/>
    <s v="10天退货，退货邮费买家承担|蚂蚁花呗|信用卡支付|集分宝|如实描述"/>
    <s v="广东广州"/>
    <s v="miley006"/>
    <d v="2014-10-28T15:45:21"/>
    <s v="1冠"/>
    <s v="4.8; 4.8; 4.8"/>
    <n v="3258"/>
    <s v="淘宝"/>
    <n v="0.98140000000000005"/>
    <s v="女装/女士精品 "/>
    <s v=" 连衣裙"/>
    <m/>
    <d v="2015-08-28T00:00:00"/>
    <d v="1899-12-30T20:06:10"/>
    <s v="5天1时56分24秒"/>
    <x v="1"/>
    <x v="7"/>
    <s v="http://item.taobao.com/item.htm?id=45636774070"/>
  </r>
  <r>
    <n v="93"/>
    <s v="第 3 页 第 1 位"/>
    <s v="2015夏装新款中老年女装印花连衣裙夏季大码修身中年妈妈装碎花裙"/>
    <n v="1510"/>
    <n v="99"/>
    <n v="0.159"/>
    <n v="15.74"/>
    <n v="15.74"/>
    <n v="61662"/>
    <s v="包邮"/>
    <n v="4723"/>
    <n v="5.4999999999999997E-3"/>
    <n v="11465"/>
    <n v="1.01E-2"/>
    <n v="180459.1"/>
    <n v="3.3E-3"/>
    <n v="11028"/>
    <n v="173751"/>
    <n v="6.3500000000000001E-2"/>
    <n v="139"/>
    <n v="15034"/>
    <m/>
    <m/>
    <m/>
    <s v="卖家承诺72小时内发货|7天无理由|蚂蚁花呗|信用卡支付|集分宝|如实描述"/>
    <s v="北京"/>
    <s v="a328643702"/>
    <d v="2010-09-26T18:43:30"/>
    <s v="5冠"/>
    <s v="4.7; 4.7; 4.7"/>
    <n v="31510"/>
    <s v="淘宝"/>
    <n v="0.9849"/>
    <s v="女装/女士精品 "/>
    <s v=" 连衣裙"/>
    <m/>
    <d v="2015-08-27T00:00:00"/>
    <d v="1899-12-30T21:50:11"/>
    <s v="4天3时40分25秒"/>
    <x v="4"/>
    <x v="2"/>
    <s v="http://item.taobao.com/item.htm?id=44018481952"/>
  </r>
  <r>
    <n v="94"/>
    <s v="第 3 页 第 2 位"/>
    <s v="夏季连衣裙2015春夏新款韩版女式短袖T恤裙大码女装字母宽松长裙"/>
    <m/>
    <n v="91"/>
    <n v="0.17580000000000001"/>
    <n v="16"/>
    <n v="16"/>
    <n v="1087556"/>
    <s v="包邮"/>
    <n v="4707"/>
    <n v="5.4999999999999997E-3"/>
    <n v="5761"/>
    <n v="5.1000000000000004E-3"/>
    <n v="92176"/>
    <n v="1.6999999999999999E-3"/>
    <n v="56436"/>
    <n v="90233"/>
    <n v="0.62539999999999996"/>
    <n v="19"/>
    <n v="13395"/>
    <m/>
    <m/>
    <m/>
    <s v="7天无理由|蚂蚁花呗|信用卡支付|集分宝|如实描述"/>
    <s v="广东广州"/>
    <s v="韩衣馆shop"/>
    <d v="2013-10-24T13:21:55"/>
    <s v="3冠"/>
    <s v="4.7; 4.7; 4.7"/>
    <n v="10680"/>
    <s v="淘宝"/>
    <n v="0.97489999999999999"/>
    <s v="女装/女士精品 "/>
    <s v=" 连衣裙"/>
    <m/>
    <d v="2015-08-30T00:00:00"/>
    <d v="1899-12-30T16:06:40"/>
    <s v="6天21时56分54秒"/>
    <x v="5"/>
    <x v="6"/>
    <s v="http://item.taobao.com/item.htm?id=45393481059"/>
  </r>
  <r>
    <n v="95"/>
    <s v="第 3 页 第 3 位"/>
    <s v="2015夏装新款女装镂空欧根纱蓬蓬裙 印花碎花两件套连衣裙套装女"/>
    <m/>
    <n v="118"/>
    <n v="0.32200000000000001"/>
    <n v="38"/>
    <n v="38"/>
    <n v="3823"/>
    <s v="包邮"/>
    <n v="4706"/>
    <n v="5.4999999999999997E-3"/>
    <n v="5520"/>
    <n v="4.8999999999999998E-3"/>
    <n v="209760"/>
    <n v="3.8E-3"/>
    <n v="24248"/>
    <n v="120085"/>
    <n v="0.2019"/>
    <n v="21"/>
    <n v="1844"/>
    <m/>
    <m/>
    <m/>
    <s v="卖家承诺72小时内发货|8天退货，退货邮费买家承担|蚂蚁花呗|信用卡支付|集分宝|如实描述"/>
    <s v="广东广州"/>
    <s v="wanwalkerman"/>
    <d v="2012-07-22T11:34:23"/>
    <s v="5冠"/>
    <s v="4.7; 4.7; 4.6"/>
    <n v="139674"/>
    <s v="淘宝"/>
    <n v="0.9849"/>
    <s v="女装/女士精品 "/>
    <s v=" 连衣裙"/>
    <m/>
    <d v="2015-08-29T00:00:00"/>
    <d v="1899-12-30T16:32:25"/>
    <s v="5天22时22分39秒"/>
    <x v="3"/>
    <x v="6"/>
    <s v="http://item.taobao.com/item.htm?id=520318339796"/>
  </r>
  <r>
    <n v="96"/>
    <s v="第 3 页 第 4 位"/>
    <s v="毛菇小象 修身休闲连衣裙 2015夏季新款短袖中裙秋装大码女装裙子"/>
    <s v="Q3827"/>
    <n v="138"/>
    <n v="0.5"/>
    <n v="69"/>
    <n v="69"/>
    <n v="26139"/>
    <n v="5"/>
    <n v="4680"/>
    <n v="5.4999999999999997E-3"/>
    <n v="12524"/>
    <n v="1.0999999999999999E-2"/>
    <n v="864156"/>
    <n v="1.5599999999999999E-2"/>
    <n v="105020"/>
    <n v="145604"/>
    <n v="0.72130000000000005"/>
    <n v="68"/>
    <n v="143"/>
    <m/>
    <s v="1.单笔订单满168元免运费(不包邮地区：内蒙古;甘肃;青海;宁夏;新疆;西藏;台湾;香港;澳门;海外)，上不封顶！亲，快下手吧！"/>
    <m/>
    <s v="卖家承诺15天内发货|7天无理由|蚂蚁花呗|信用卡支付|集分宝|如实描述"/>
    <s v="浙江杭州"/>
    <s v="毛菇小象"/>
    <d v="2010-12-27T11:08:16"/>
    <s v="4金冠"/>
    <s v="4.7; 4.8; 4.7"/>
    <n v="5888612"/>
    <s v="淘宝"/>
    <n v="0.99129999999999996"/>
    <s v="女装/女士精品 "/>
    <s v=" 连衣裙"/>
    <m/>
    <d v="2015-08-26T00:00:00"/>
    <d v="1899-12-30T10:53:04"/>
    <s v="2天16时43分18秒"/>
    <x v="2"/>
    <x v="3"/>
    <s v="http://item.taobao.com/item.htm?id=45702805708"/>
  </r>
  <r>
    <n v="97"/>
    <s v="第 3 页 第 5 位"/>
    <s v="正品2015新款时尚夏季棉麻连衣裙两件套亚麻长裙气质修身女装裙子"/>
    <m/>
    <n v="488"/>
    <n v="0.13189999999999999"/>
    <n v="64.349999999999994"/>
    <n v="64.349999999999994"/>
    <n v="8647"/>
    <s v="包邮"/>
    <n v="4639"/>
    <n v="5.4000000000000003E-3"/>
    <n v="6659"/>
    <n v="5.8999999999999999E-3"/>
    <n v="428506.65"/>
    <n v="7.7999999999999996E-3"/>
    <n v="7576"/>
    <n v="57286"/>
    <n v="0.13220000000000001"/>
    <n v="6"/>
    <n v="552"/>
    <m/>
    <m/>
    <m/>
    <s v="7天无理由|蚂蚁花呗|信用卡支付|集分宝|如实描述"/>
    <s v="广东广州"/>
    <s v="美茹衣橱"/>
    <d v="2014-08-18T09:29:04"/>
    <s v="5钻"/>
    <s v="4.7; 4.7; 4.6"/>
    <n v="2025"/>
    <s v="淘宝"/>
    <n v="0.98280000000000001"/>
    <s v="女装/女士精品 "/>
    <s v=" 连衣裙"/>
    <m/>
    <d v="2015-08-26T00:00:00"/>
    <d v="1899-12-30T18:03:13"/>
    <s v="2天23时53分27秒"/>
    <x v="2"/>
    <x v="9"/>
    <s v="http://item.taobao.com/item.htm?id=520817830644"/>
  </r>
  <r>
    <n v="98"/>
    <s v="第 3 页 第 6 位"/>
    <s v="韩国2015夏季女装新款气质修身显瘦棉麻连衣裙长款不规则一步裙夏"/>
    <s v="zsf0348"/>
    <n v="368"/>
    <n v="0.44280000000000003"/>
    <n v="162.96"/>
    <n v="162.96"/>
    <n v="11688"/>
    <s v="包邮"/>
    <n v="4615"/>
    <n v="5.4000000000000003E-3"/>
    <n v="4840"/>
    <n v="4.3E-3"/>
    <n v="788726.4"/>
    <n v="1.43E-2"/>
    <n v="73412"/>
    <n v="339045"/>
    <n v="0.2165"/>
    <n v="5"/>
    <n v="1538"/>
    <m/>
    <m/>
    <m/>
    <s v="7天无理由|信用卡支付|集分宝|支付宝支付|如实描述"/>
    <s v="浙江杭州"/>
    <s v="zsf私人定制"/>
    <d v="2015-07-01T17:39:43"/>
    <s v="4钻"/>
    <s v="4.6; 4.7; 4.6"/>
    <n v="7838"/>
    <s v="淘宝"/>
    <n v="0.97670000000000001"/>
    <s v="女装/女士精品 "/>
    <s v=" 连衣裙"/>
    <m/>
    <d v="2015-08-27T00:00:00"/>
    <d v="1899-12-30T22:31:45"/>
    <s v="4天4时21分59秒"/>
    <x v="4"/>
    <x v="0"/>
    <s v="http://item.taobao.com/item.htm?id=520460332917"/>
  </r>
  <r>
    <n v="99"/>
    <s v="第 3 页 第 7 位"/>
    <s v="克拉恋人唐嫣明星同款2015夏装新款短袖修身宽松中长款连衣裙女潮"/>
    <m/>
    <n v="99.6"/>
    <n v="0.49"/>
    <n v="48.8"/>
    <n v="48.8"/>
    <n v="19298"/>
    <s v="包邮"/>
    <n v="4612"/>
    <n v="5.4000000000000003E-3"/>
    <n v="7630"/>
    <n v="6.7000000000000002E-3"/>
    <n v="372344"/>
    <n v="6.7000000000000002E-3"/>
    <n v="14992"/>
    <n v="24476"/>
    <n v="0.61250000000000004"/>
    <n v="2"/>
    <n v="1024"/>
    <m/>
    <m/>
    <m/>
    <s v="卖家承诺48小时内发货|7天无理由|集分宝|支付宝支付|如实描述"/>
    <s v="广东广州"/>
    <s v="nani哈尼"/>
    <d v="2015-05-02T14:21:58"/>
    <s v="4钻"/>
    <s v="4.7; 4.7; 4.6"/>
    <n v="3133"/>
    <s v="淘宝"/>
    <n v="0.98860000000000003"/>
    <s v="女装/女士精品 "/>
    <s v=" 连衣裙"/>
    <m/>
    <d v="2015-08-28T00:00:00"/>
    <d v="1899-12-30T21:00:00"/>
    <s v="5天2时50分14秒"/>
    <x v="1"/>
    <x v="2"/>
    <s v="http://item.taobao.com/item.htm?id=520844995820"/>
  </r>
  <r>
    <n v="100"/>
    <s v="第 3 页 第 8 位"/>
    <s v="雪纺连衣裙2015夏装大码女装裙子胖mm夏假两件遮肚子显瘦包臀短裙"/>
    <m/>
    <n v="135"/>
    <n v="0.24890000000000001"/>
    <n v="33.6"/>
    <n v="33.6"/>
    <n v="25326"/>
    <s v="包邮"/>
    <n v="4590"/>
    <n v="5.4000000000000003E-3"/>
    <n v="5524"/>
    <n v="4.8999999999999998E-3"/>
    <n v="185606.39999999999"/>
    <n v="3.3999999999999998E-3"/>
    <n v="11806"/>
    <n v="50331"/>
    <n v="0.2346"/>
    <n v="9"/>
    <n v="4095"/>
    <m/>
    <m/>
    <m/>
    <s v="卖家承诺24小时内发货|10天退货，退货邮费买家承担|蚂蚁花呗|信用卡支付|集分宝|如实描述"/>
    <s v="广东广州"/>
    <s v="你是我d优乐美"/>
    <d v="2013-01-30T19:28:01"/>
    <s v="2冠"/>
    <s v="4.8; 4.7; 4.7"/>
    <n v="2113"/>
    <s v="淘宝"/>
    <n v="0.98499999999999999"/>
    <s v="女装/女士精品 "/>
    <s v=" 连衣裙"/>
    <m/>
    <d v="2015-08-26T00:00:00"/>
    <d v="1899-12-30T22:30:00"/>
    <s v="3天4时20分14秒"/>
    <x v="2"/>
    <x v="0"/>
    <s v="http://item.taobao.com/item.htm?id=45590179480"/>
  </r>
  <r>
    <n v="101"/>
    <s v="第 3 页 第 9 位"/>
    <s v="气质仙长裙两件套2015夏薄款棉麻连衣裙女夏天亚麻裙子中长款A字"/>
    <m/>
    <n v="160"/>
    <n v="0.35"/>
    <n v="56"/>
    <n v="56"/>
    <n v="18406"/>
    <s v="包邮"/>
    <n v="4582"/>
    <n v="5.4000000000000003E-3"/>
    <n v="5696"/>
    <n v="5.0000000000000001E-3"/>
    <n v="318976"/>
    <n v="5.7999999999999996E-3"/>
    <n v="5220"/>
    <n v="30721"/>
    <n v="0.1699"/>
    <n v="7"/>
    <n v="818"/>
    <m/>
    <m/>
    <m/>
    <s v="卖家承诺24小时内发货|8天退货，退货邮费买家承担|蚂蚁花呗|信用卡支付|集分宝|如实描述"/>
    <s v="浙江杭州"/>
    <s v="蚊子女装商城批发"/>
    <d v="2013-12-01T01:10:46"/>
    <s v="5钻"/>
    <s v="4.6; 4.6; 4.5"/>
    <n v="1133"/>
    <s v="淘宝"/>
    <n v="0.91839999999999999"/>
    <s v="女装/女士精品 "/>
    <s v=" 连衣裙"/>
    <m/>
    <d v="2015-08-26T00:00:00"/>
    <d v="1899-12-30T21:00:00"/>
    <s v="3天2时50分14秒"/>
    <x v="2"/>
    <x v="2"/>
    <s v="http://item.taobao.com/item.htm?id=520678217643"/>
  </r>
  <r>
    <n v="102"/>
    <s v="第 3 页 第 10 位"/>
    <s v="2015韩版女装秋蕾丝连衣裙性感大码夜店露背吊带裙镂空公主裙夏女"/>
    <m/>
    <n v="198"/>
    <n v="0.49"/>
    <n v="97.02"/>
    <n v="97.02"/>
    <n v="2221"/>
    <s v="包邮"/>
    <n v="4565"/>
    <n v="5.3E-3"/>
    <n v="5311"/>
    <n v="4.7000000000000002E-3"/>
    <n v="515273.22"/>
    <n v="9.2999999999999992E-3"/>
    <n v="59170"/>
    <n v="66310"/>
    <n v="0.89229999999999998"/>
    <n v="3"/>
    <n v="1830"/>
    <m/>
    <m/>
    <m/>
    <s v="卖家承诺48小时内发货|8天退货，退货邮费买家承担|蚂蚁花呗|信用卡支付|集分宝|如实描述"/>
    <s v="广东广州"/>
    <s v="小美女e店"/>
    <d v="2012-06-30T21:47:01"/>
    <s v="4冠"/>
    <s v="4.7; 4.7; 4.6"/>
    <n v="34461"/>
    <s v="淘宝"/>
    <n v="0.97189999999999999"/>
    <s v="女装/女士精品 "/>
    <s v=" 连衣裙"/>
    <m/>
    <d v="2015-08-24T00:00:00"/>
    <d v="1899-12-30T22:00:00"/>
    <s v="1天3时50分14秒"/>
    <x v="0"/>
    <x v="0"/>
    <s v="http://item.taobao.com/item.htm?id=520365996744"/>
  </r>
  <r>
    <n v="103"/>
    <s v="第 3 页 第 11 位"/>
    <s v="欧洲站2015夏季新款韩版时尚修身印花连衣裙欧根纱高腰圆领蓬蓬裙"/>
    <n v="888"/>
    <n v="598"/>
    <n v="0.20330000000000001"/>
    <n v="121.6"/>
    <n v="121.6"/>
    <n v="453"/>
    <s v="包邮"/>
    <n v="4472"/>
    <n v="5.1999999999999998E-3"/>
    <n v="3749"/>
    <n v="3.3E-3"/>
    <n v="455878.40000000002"/>
    <n v="8.3000000000000001E-3"/>
    <n v="27942"/>
    <n v="160253"/>
    <n v="0.1744"/>
    <n v="4"/>
    <n v="1237"/>
    <m/>
    <m/>
    <m/>
    <s v="7天无理由|蚂蚁花呗|信用卡支付|集分宝|如实描述"/>
    <s v="浙江杭州"/>
    <s v="麦小小2013"/>
    <d v="2013-05-02T12:10:33"/>
    <s v="1冠"/>
    <s v="4.7; 4.7; 4.7"/>
    <n v="19211"/>
    <s v="淘宝"/>
    <n v="0.98599999999999999"/>
    <s v="女装/女士精品 "/>
    <s v=" 连衣裙"/>
    <m/>
    <d v="2015-08-30T00:00:00"/>
    <d v="1899-12-30T00:03:39"/>
    <s v="6天5时53分53秒"/>
    <x v="5"/>
    <x v="13"/>
    <s v="http://item.taobao.com/item.htm?id=520674767729"/>
  </r>
  <r>
    <n v="104"/>
    <s v="第 3 页 第 12 位"/>
    <s v="韩版大码女装波西米亚沙滩吊带长裙子碎花松紧腰显瘦雪纺连衣裙夏"/>
    <m/>
    <n v="60"/>
    <n v="0.49170000000000003"/>
    <n v="29.5"/>
    <n v="29.5"/>
    <n v="51991"/>
    <s v="包邮"/>
    <n v="4462"/>
    <n v="5.1999999999999998E-3"/>
    <n v="4916"/>
    <n v="4.3E-3"/>
    <n v="145022"/>
    <n v="2.5999999999999999E-3"/>
    <n v="87454"/>
    <n v="258332"/>
    <n v="0.33850000000000002"/>
    <n v="18"/>
    <n v="16798"/>
    <m/>
    <m/>
    <m/>
    <s v="7天无理由|蚂蚁花呗|信用卡支付|集分宝|如实描述"/>
    <s v="广东广州"/>
    <s v="雪儿韩衣坊"/>
    <d v="2015-05-04T20:34:26"/>
    <s v="3冠"/>
    <s v="4.7; 4.7; 4.7"/>
    <n v="21598"/>
    <s v="淘宝"/>
    <n v="0.9849"/>
    <s v="女装/女士精品 "/>
    <s v=" 连衣裙"/>
    <m/>
    <d v="2015-08-28T00:00:00"/>
    <d v="1899-12-30T20:40:00"/>
    <s v="5天2时30分14秒"/>
    <x v="1"/>
    <x v="7"/>
    <s v="http://item.taobao.com/item.htm?id=45596800752"/>
  </r>
  <r>
    <n v="105"/>
    <s v="第 3 页 第 13 位"/>
    <s v="欧根纱套装夏连衣裙韩版学生两件套裙子猫咪印花学院风蓬蓬裙短裙"/>
    <n v="858"/>
    <n v="118"/>
    <n v="0.495"/>
    <n v="58.41"/>
    <n v="58.41"/>
    <n v="35191"/>
    <s v="包邮"/>
    <n v="4454"/>
    <n v="5.1999999999999998E-3"/>
    <n v="6260"/>
    <n v="5.4999999999999997E-3"/>
    <n v="365646.6"/>
    <n v="6.6E-3"/>
    <n v="16174"/>
    <n v="26250"/>
    <n v="0.61619999999999997"/>
    <n v="12"/>
    <n v="871"/>
    <m/>
    <m/>
    <m/>
    <s v="卖家承诺48小时内发货|8天退货，退货邮费买家承担|蚂蚁花呗|信用卡支付|集分宝|如实描述"/>
    <s v="广东广州"/>
    <s v="菠萝美衣"/>
    <d v="2013-10-08T14:11:26"/>
    <s v="4钻"/>
    <s v="4.8; 4.8; 4.7"/>
    <n v="1447"/>
    <s v="淘宝"/>
    <n v="0.98460000000000003"/>
    <s v="女装/女士精品 "/>
    <s v=" 连衣裙"/>
    <m/>
    <d v="2015-08-30T00:00:00"/>
    <d v="1899-12-30T15:30:31"/>
    <s v="6天21时20分45秒"/>
    <x v="5"/>
    <x v="1"/>
    <s v="http://item.taobao.com/item.htm?id=520686536946"/>
  </r>
  <r>
    <n v="106"/>
    <s v="第 3 页 第 14 位"/>
    <s v="夏人造棉印花碎花棉绸波西米亚沙滩裙度假裙长裙无袖背心裙连衣裙"/>
    <m/>
    <n v="128"/>
    <n v="0.218"/>
    <n v="27.9"/>
    <n v="27.9"/>
    <n v="4758"/>
    <s v="包邮"/>
    <n v="4453"/>
    <n v="5.1999999999999998E-3"/>
    <n v="6685"/>
    <n v="5.8999999999999999E-3"/>
    <n v="186511.5"/>
    <n v="3.3999999999999998E-3"/>
    <n v="19766"/>
    <n v="116755"/>
    <n v="0.16930000000000001"/>
    <n v="6"/>
    <n v="6130"/>
    <m/>
    <m/>
    <m/>
    <s v="7天无理由|集分宝|支付宝支付|如实描述"/>
    <s v="广东广州"/>
    <s v="纯净的心情"/>
    <d v="2008-10-20T21:03:33"/>
    <s v="3冠"/>
    <s v="4.8; 4.8; 4.7"/>
    <n v="7809"/>
    <s v="淘宝"/>
    <n v="0.96760000000000002"/>
    <s v="女装/女士精品 "/>
    <s v=" 连衣裙"/>
    <m/>
    <d v="2015-08-27T00:00:00"/>
    <d v="1899-12-30T21:18:20"/>
    <s v="4天3时8分34秒"/>
    <x v="4"/>
    <x v="2"/>
    <s v="http://item.taobao.com/item.htm?id=45371026699"/>
  </r>
  <r>
    <n v="107"/>
    <s v="第 3 页 第 15 位"/>
    <s v="2015夏季新款 简约百搭白色磨破牛仔背带裙 连衣裙吊带裙女学生潮"/>
    <m/>
    <n v="35.799999999999997"/>
    <n v="1"/>
    <n v="35.799999999999997"/>
    <n v="35.799999999999997"/>
    <n v="3033"/>
    <s v="包邮"/>
    <n v="4402"/>
    <n v="5.1000000000000004E-3"/>
    <n v="5400"/>
    <n v="4.7999999999999996E-3"/>
    <n v="193320"/>
    <n v="3.5000000000000001E-3"/>
    <n v="25190"/>
    <n v="40122"/>
    <n v="0.62780000000000002"/>
    <n v="3"/>
    <n v="3151"/>
    <m/>
    <m/>
    <m/>
    <s v="7天无理由|蚂蚁花呗|信用卡支付|集分宝|如实描述"/>
    <s v="广东广州"/>
    <s v="当学会"/>
    <d v="2013-03-12T22:24:53"/>
    <s v="2金冠"/>
    <s v="4.7; 4.7; 4.6"/>
    <n v="1118893"/>
    <s v="淘宝"/>
    <n v="0.9819"/>
    <s v="女装/女士精品 "/>
    <s v=" 连衣裙"/>
    <m/>
    <d v="2015-08-28T00:00:00"/>
    <d v="1899-12-30T20:44:22"/>
    <s v="5天2时34分36秒"/>
    <x v="1"/>
    <x v="7"/>
    <s v="http://item.taobao.com/item.htm?id=45327332310"/>
  </r>
  <r>
    <n v="108"/>
    <s v="第 3 页 第 16 位"/>
    <s v="韩国镂空马甲外套套装+镂空纯色连衣裙宽松套头短裙女两件套TZ272"/>
    <s v="TZ272"/>
    <n v="256"/>
    <n v="0.495"/>
    <n v="126.72"/>
    <n v="126.72"/>
    <n v="374"/>
    <s v="包邮"/>
    <n v="4380"/>
    <n v="5.1000000000000004E-3"/>
    <n v="6775"/>
    <n v="6.0000000000000001E-3"/>
    <n v="858528"/>
    <n v="1.55E-2"/>
    <n v="70284"/>
    <n v="106270"/>
    <n v="0.66139999999999999"/>
    <n v="1"/>
    <n v="394"/>
    <m/>
    <m/>
    <m/>
    <s v="卖家承诺12天内发货|7天无理由|蚂蚁花呗|信用卡支付|集分宝|如实描述"/>
    <s v="浙江杭州"/>
    <s v="女人顶顶大"/>
    <d v="2007-06-15T13:25:37"/>
    <s v="2金冠"/>
    <s v="4.6; 4.7; 4.7"/>
    <n v="2664091"/>
    <s v="淘宝"/>
    <n v="0.98970000000000002"/>
    <s v="女装/女士精品 "/>
    <s v=" 连衣裙"/>
    <m/>
    <d v="2015-08-27T00:00:00"/>
    <d v="1899-12-30T10:09:39"/>
    <s v="3天15时59分53秒"/>
    <x v="4"/>
    <x v="3"/>
    <s v="http://item.taobao.com/item.htm?id=520730131791"/>
  </r>
  <r>
    <n v="109"/>
    <s v="第 3 页 第 17 位"/>
    <s v="欧洲站2015夏季女装真丝开衫两件套连衣裙波西米亚碎花吊带沙滩裙"/>
    <s v="99HU0713"/>
    <n v="356"/>
    <n v="0.495"/>
    <n v="176.22"/>
    <n v="176.22"/>
    <n v="10560"/>
    <s v="包邮"/>
    <n v="4348"/>
    <n v="5.1000000000000004E-3"/>
    <n v="6303"/>
    <n v="5.5999999999999999E-3"/>
    <n v="1110714.6599999999"/>
    <n v="2.01E-2"/>
    <n v="25108"/>
    <n v="183704"/>
    <n v="0.13669999999999999"/>
    <n v="11"/>
    <n v="33"/>
    <m/>
    <m/>
    <m/>
    <s v="7天无理由|蚂蚁花呗|集分宝|支付宝支付|如实描述"/>
    <s v="浙江杭州"/>
    <s v="玖玖狐"/>
    <d v="2014-12-28T21:18:19"/>
    <s v="2冠"/>
    <s v="4.7; 4.8; 4.7"/>
    <n v="34747"/>
    <s v="淘宝"/>
    <n v="0.99060000000000004"/>
    <s v="女装/女士精品 "/>
    <s v=" 连衣裙"/>
    <m/>
    <d v="2015-08-24T00:00:00"/>
    <d v="1899-12-30T09:15:00"/>
    <d v="1899-12-30T15:05:14"/>
    <x v="0"/>
    <x v="15"/>
    <s v="http://item.taobao.com/item.htm?id=520624998800"/>
  </r>
  <r>
    <n v="110"/>
    <s v="第 3 页 第 18 位"/>
    <s v="【清仓】欧洲站波西米亚碎花绵绸长裙连衣裙人造棉无袖圆领大摆裙"/>
    <m/>
    <n v="199"/>
    <n v="0.1764"/>
    <n v="35.11"/>
    <n v="35.11"/>
    <n v="10630"/>
    <s v="包邮"/>
    <n v="4340"/>
    <n v="5.1000000000000004E-3"/>
    <n v="6812"/>
    <n v="6.0000000000000001E-3"/>
    <n v="239169.32"/>
    <n v="4.3E-3"/>
    <n v="18448"/>
    <n v="105590"/>
    <n v="0.17469999999999999"/>
    <n v="45"/>
    <n v="451"/>
    <m/>
    <m/>
    <m/>
    <s v="卖家承诺24小时内发货|7天无理由|蚂蚁花呗|信用卡支付|集分宝|如实描述"/>
    <s v="广东广州"/>
    <s v="claudia19911224"/>
    <d v="2013-02-23T22:05:11"/>
    <s v="3冠"/>
    <s v="4.8; 4.8; 4.8"/>
    <n v="23300"/>
    <s v="淘宝"/>
    <n v="0.97489999999999999"/>
    <s v="女装/女士精品 "/>
    <s v=" 连衣裙"/>
    <m/>
    <d v="2015-08-25T00:00:00"/>
    <d v="1899-12-30T22:15:52"/>
    <s v="2天4时6分6秒"/>
    <x v="6"/>
    <x v="0"/>
    <s v="http://item.taobao.com/item.htm?id=40025951298"/>
  </r>
  <r>
    <n v="111"/>
    <s v="第 3 页 第 19 位"/>
    <s v="2015夏装新款棉麻连衣裙套装森女宽松大码文艺两件套长裙亚麻女装"/>
    <m/>
    <n v="139"/>
    <n v="0.34899999999999998"/>
    <n v="48.51"/>
    <n v="48.51"/>
    <n v="47950"/>
    <s v="包邮"/>
    <n v="4320"/>
    <n v="5.0000000000000001E-3"/>
    <n v="5095"/>
    <n v="4.4999999999999997E-3"/>
    <n v="247158.45"/>
    <n v="4.4999999999999997E-3"/>
    <n v="8278"/>
    <n v="21967"/>
    <n v="0.37680000000000002"/>
    <n v="0"/>
    <n v="1241"/>
    <m/>
    <m/>
    <m/>
    <s v="7天无理由|蚂蚁花呗|集分宝|支付宝支付|如实描述"/>
    <s v="广东广州"/>
    <s v="会笑的眼睛lalala"/>
    <d v="2015-04-19T11:17:55"/>
    <s v="3钻"/>
    <s v="4.6; 4.6; 4.5"/>
    <n v="904"/>
    <s v="淘宝"/>
    <n v="0.92320000000000002"/>
    <s v="女装/女士精品 "/>
    <s v=" 连衣裙"/>
    <m/>
    <d v="2015-08-27T00:00:00"/>
    <d v="1899-12-30T16:23:10"/>
    <s v="3天22时13分24秒"/>
    <x v="4"/>
    <x v="6"/>
    <s v="http://item.taobao.com/item.htm?id=520696402934"/>
  </r>
  <r>
    <n v="112"/>
    <s v="第 3 页 第 20 位"/>
    <s v="明星同款2015秋装新款 欧美大牌气质挂脖孔雀翎毛打底连衣裙A字裙"/>
    <m/>
    <n v="317"/>
    <n v="0.18609999999999999"/>
    <n v="59"/>
    <n v="59"/>
    <n v="4050"/>
    <s v="包邮"/>
    <n v="4284"/>
    <n v="5.0000000000000001E-3"/>
    <n v="5021"/>
    <n v="4.4000000000000003E-3"/>
    <n v="296239"/>
    <n v="5.4000000000000003E-3"/>
    <n v="48974"/>
    <n v="25336"/>
    <n v="1.9330000000000001"/>
    <n v="4"/>
    <n v="1620"/>
    <m/>
    <m/>
    <m/>
    <s v="卖家承诺48小时内发货|7天无理由|蚂蚁花呗|信用卡支付|集分宝|如实描述"/>
    <s v="广东广州"/>
    <s v="ww后会无期"/>
    <d v="2014-08-10T17:13:04"/>
    <s v="5钻"/>
    <s v="4.7; 4.7; 4.6"/>
    <n v="9612"/>
    <s v="淘宝"/>
    <n v="0.95589999999999997"/>
    <s v="女装/女士精品 "/>
    <s v=" 连衣裙"/>
    <m/>
    <d v="2015-08-23T00:00:00"/>
    <d v="1899-12-30T20:25:00"/>
    <d v="1899-12-30T02:15:14"/>
    <x v="5"/>
    <x v="7"/>
    <s v="http://item.taobao.com/item.htm?id=520209455059"/>
  </r>
  <r>
    <n v="113"/>
    <s v="第 3 页 第 21 位"/>
    <s v="夏季甜美网纱裤裙+一字领蕾丝钉珠短袖上衣 女装两件套连衣裙套装"/>
    <m/>
    <n v="108"/>
    <n v="0.41670000000000001"/>
    <n v="45"/>
    <n v="45"/>
    <n v="22702"/>
    <s v="包邮"/>
    <n v="4245"/>
    <n v="5.0000000000000001E-3"/>
    <n v="4876"/>
    <n v="4.3E-3"/>
    <n v="219420"/>
    <n v="4.0000000000000001E-3"/>
    <n v="28018"/>
    <n v="59328"/>
    <n v="0.4723"/>
    <n v="1"/>
    <n v="2460"/>
    <m/>
    <m/>
    <m/>
    <s v="7天无理由|蚂蚁花呗|信用卡支付|集分宝|如实描述"/>
    <s v="广东广州"/>
    <s v="咿呀呀韩装店"/>
    <d v="2012-10-01T02:54:59"/>
    <s v="2冠"/>
    <s v="4.7; 4.7; 4.6"/>
    <n v="5254"/>
    <s v="淘宝"/>
    <n v="0.97619999999999996"/>
    <s v="女装/女士精品 "/>
    <s v=" 连衣裙"/>
    <m/>
    <d v="2015-08-24T00:00:00"/>
    <d v="1899-12-30T23:15:00"/>
    <s v="1天5时5分14秒"/>
    <x v="0"/>
    <x v="4"/>
    <s v="http://item.taobao.com/item.htm?id=45876465104"/>
  </r>
  <r>
    <n v="114"/>
    <s v="第 3 页 第 22 位"/>
    <s v="小黑裙2015夏季新款韩版修身显瘦无袖背心短裙雪纺A字连衣裙女装"/>
    <s v="D1598"/>
    <n v="399"/>
    <n v="0.28570000000000001"/>
    <n v="114"/>
    <n v="114"/>
    <n v="8156"/>
    <s v="包邮"/>
    <n v="4230"/>
    <n v="4.8999999999999998E-3"/>
    <n v="5465"/>
    <n v="4.7999999999999996E-3"/>
    <n v="623010"/>
    <n v="1.1299999999999999E-2"/>
    <n v="131398"/>
    <s v="-"/>
    <s v="-"/>
    <n v="128"/>
    <n v="12712"/>
    <m/>
    <m/>
    <m/>
    <m/>
    <s v="浙江杭州"/>
    <s v="靓雪蒂旗舰店"/>
    <d v="2014-10-08T14:54:15"/>
    <s v="2冠"/>
    <s v="4.8; 4.8; 4.9"/>
    <n v="31368"/>
    <s v="天猫"/>
    <n v="1"/>
    <s v="女装/女士精品 "/>
    <s v=" 连衣裙"/>
    <m/>
    <d v="2015-08-25T00:00:00"/>
    <d v="1899-12-30T21:00:18"/>
    <s v="2天2时50分32秒"/>
    <x v="6"/>
    <x v="2"/>
    <s v="http://item.taobao.com/item.htm?id=43567408687"/>
  </r>
  <r>
    <n v="115"/>
    <s v="第 3 页 第 23 位"/>
    <s v="欧洲站2015夏季女装新款真丝印花短袖套装裙两件套短裙连衣裙女潮"/>
    <m/>
    <n v="238"/>
    <n v="0.69179999999999997"/>
    <n v="164.64"/>
    <n v="164.64"/>
    <n v="245076"/>
    <s v="包邮"/>
    <n v="4213"/>
    <n v="4.8999999999999998E-3"/>
    <n v="4404"/>
    <n v="3.8999999999999998E-3"/>
    <n v="725074.56"/>
    <n v="1.3100000000000001E-2"/>
    <n v="49052"/>
    <n v="274568"/>
    <n v="0.1787"/>
    <n v="11"/>
    <n v="2983"/>
    <m/>
    <m/>
    <m/>
    <s v="卖家承诺30天内发货|7天无理由|蚂蚁花呗|信用卡支付|集分宝|如实描述"/>
    <s v="浙江杭州"/>
    <s v="拜金女_vip"/>
    <d v="2010-10-25T03:44:16"/>
    <s v="2冠"/>
    <s v="4.7; 4.8; 4.7"/>
    <n v="35241"/>
    <s v="淘宝"/>
    <n v="0.98860000000000003"/>
    <s v="女装/女士精品 "/>
    <s v=" 连衣裙"/>
    <m/>
    <d v="2015-08-23T00:00:00"/>
    <d v="1899-12-30T18:12:40"/>
    <s v="2分54秒"/>
    <x v="5"/>
    <x v="9"/>
    <s v="http://item.taobao.com/item.htm?id=520214039677"/>
  </r>
  <r>
    <n v="116"/>
    <s v="第 3 页 第 24 位"/>
    <s v="2015夏季新款韩版甜美无袖字母印花T恤百搭时髦中长款A字型连衣裙"/>
    <s v="W"/>
    <n v="24.98"/>
    <n v="0.91190000000000004"/>
    <n v="22.78"/>
    <n v="22.78"/>
    <n v="33994"/>
    <s v="包邮"/>
    <n v="4211"/>
    <n v="4.8999999999999998E-3"/>
    <n v="4965"/>
    <n v="4.4000000000000003E-3"/>
    <n v="113102.7"/>
    <n v="2E-3"/>
    <n v="14398"/>
    <n v="18784"/>
    <n v="0.76649999999999996"/>
    <n v="0"/>
    <n v="1109"/>
    <m/>
    <m/>
    <m/>
    <s v="7天无理由|蚂蚁花呗|信用卡支付|集分宝|如实描述"/>
    <s v="广东广州"/>
    <s v="tb588405_2012"/>
    <d v="2012-09-17T22:39:17"/>
    <s v="4金冠"/>
    <s v="4.6; 4.7; 4.6"/>
    <n v="2155320"/>
    <s v="淘宝"/>
    <n v="0.97450000000000003"/>
    <s v="女装/女士精品 "/>
    <s v=" 连衣裙"/>
    <m/>
    <d v="2015-08-27T00:00:00"/>
    <d v="1899-12-30T20:01:12"/>
    <s v="4天1时51分26秒"/>
    <x v="4"/>
    <x v="7"/>
    <s v="http://item.taobao.com/item.htm?id=520667405477"/>
  </r>
  <r>
    <n v="117"/>
    <s v="第 3 页 第 25 位"/>
    <s v="2015夏装新款显瘦牛仔连衣裙背带裙女夏季潮学生牛仔吊带背心短裙"/>
    <n v="3552"/>
    <n v="208"/>
    <n v="0.1192"/>
    <n v="24.8"/>
    <n v="24.8"/>
    <n v="22979"/>
    <s v="包邮"/>
    <n v="4199"/>
    <n v="4.8999999999999998E-3"/>
    <n v="4802"/>
    <n v="4.1999999999999997E-3"/>
    <n v="119089.60000000001"/>
    <n v="2.2000000000000001E-3"/>
    <n v="55570"/>
    <s v="-"/>
    <s v="-"/>
    <n v="3"/>
    <n v="10479"/>
    <m/>
    <s v="满148元，省5元|满248元，省10元|满348元，省20元"/>
    <m/>
    <m/>
    <s v="广东广州"/>
    <s v="芊姿铭旗舰店"/>
    <d v="2014-09-05T16:59:03"/>
    <s v="3冠"/>
    <s v="4.6; 4.7; 4.8"/>
    <n v="9395"/>
    <s v="天猫"/>
    <n v="1"/>
    <s v="女装/女士精品 "/>
    <s v=" 连衣裙"/>
    <m/>
    <d v="2015-08-28T00:00:00"/>
    <d v="1899-12-30T09:17:45"/>
    <s v="4天15时7分59秒"/>
    <x v="1"/>
    <x v="15"/>
    <s v="http://item.taobao.com/item.htm?id=45244540252"/>
  </r>
  <r>
    <n v="118"/>
    <s v="第 3 页 第 26 位"/>
    <s v="2015夏装新款女装碎花套装裙 欧洲站印花休闲两件套套装连衣裙女"/>
    <m/>
    <n v="118"/>
    <n v="0.32200000000000001"/>
    <n v="38"/>
    <n v="38"/>
    <n v="6882"/>
    <s v="包邮"/>
    <n v="4179"/>
    <n v="4.8999999999999998E-3"/>
    <n v="4702"/>
    <n v="4.1000000000000003E-3"/>
    <n v="178676"/>
    <n v="3.2000000000000002E-3"/>
    <n v="26098"/>
    <n v="154966"/>
    <n v="0.16839999999999999"/>
    <n v="16"/>
    <n v="3091"/>
    <m/>
    <m/>
    <m/>
    <s v="卖家承诺72小时内发货|8天退货，退货邮费买家承担|蚂蚁花呗|信用卡支付|集分宝|如实描述"/>
    <s v="广东广州"/>
    <s v="wanwalkerman"/>
    <d v="2012-07-22T11:34:23"/>
    <s v="5冠"/>
    <s v="4.7; 4.7; 4.6"/>
    <n v="139674"/>
    <s v="淘宝"/>
    <n v="0.9849"/>
    <s v="女装/女士精品 "/>
    <s v=" 连衣裙"/>
    <m/>
    <d v="2015-08-29T00:00:00"/>
    <d v="1899-12-30T21:50:29"/>
    <s v="6天3时40分42秒"/>
    <x v="3"/>
    <x v="2"/>
    <s v="http://item.taobao.com/item.htm?id=520318555660"/>
  </r>
  <r>
    <n v="119"/>
    <s v="第 3 页 第 27 位"/>
    <s v="雪纺连衣裙女夏装甜美立领碎花无袖印花显瘦修身波西米亚沙滩长裙"/>
    <n v="24234"/>
    <n v="423"/>
    <n v="0.11119999999999999"/>
    <n v="47.04"/>
    <n v="47.04"/>
    <n v="18663"/>
    <s v="包邮"/>
    <n v="4160"/>
    <n v="4.8999999999999998E-3"/>
    <n v="4619"/>
    <n v="4.1000000000000003E-3"/>
    <n v="217277.76"/>
    <n v="3.8999999999999998E-3"/>
    <n v="43148"/>
    <n v="70443"/>
    <n v="0.61250000000000004"/>
    <n v="3"/>
    <n v="3197"/>
    <m/>
    <m/>
    <m/>
    <s v="卖家承诺24小时内发货|15天退货，退货邮费买家承担|蚂蚁花呗|信用卡支付|集分宝|如实描述"/>
    <s v="广东广州"/>
    <s v="质越女装"/>
    <d v="2015-03-04T12:39:50"/>
    <s v="1冠"/>
    <s v="4.7; 4.7; 4.7"/>
    <n v="2280"/>
    <s v="淘宝"/>
    <n v="0.98740000000000006"/>
    <s v="女装/女士精品 "/>
    <s v=" 连衣裙"/>
    <m/>
    <d v="2015-08-29T00:00:00"/>
    <d v="1899-12-30T22:30:00"/>
    <s v="6天4时20分13秒"/>
    <x v="3"/>
    <x v="0"/>
    <s v="http://item.taobao.com/item.htm?id=520069772086"/>
  </r>
  <r>
    <n v="120"/>
    <s v="第 3 页 第 28 位"/>
    <s v="欧洲站2015夏装明星同款女装刺绣水溶蕾丝连衣裙中长款一字领中裙"/>
    <m/>
    <n v="336"/>
    <n v="0.46500000000000002"/>
    <n v="156.24"/>
    <n v="156.24"/>
    <n v="1095"/>
    <s v="包邮"/>
    <n v="4125"/>
    <n v="4.7999999999999996E-3"/>
    <n v="4498"/>
    <n v="4.0000000000000001E-3"/>
    <n v="702767.52"/>
    <n v="1.2699999999999999E-2"/>
    <n v="52904"/>
    <n v="80798"/>
    <n v="0.65480000000000005"/>
    <n v="0"/>
    <n v="1612"/>
    <m/>
    <m/>
    <m/>
    <s v="卖家承诺15天内发货|7天无理由|蚂蚁花呗|信用卡支付|集分宝|如实描述"/>
    <s v="浙江杭州"/>
    <s v="莫伟悠"/>
    <d v="2011-10-26T11:56:13"/>
    <s v="1冠"/>
    <s v="4.6; 4.7; 4.7"/>
    <n v="37696"/>
    <s v="淘宝"/>
    <n v="0.98089999999999999"/>
    <s v="女装/女士精品 "/>
    <s v=" 连衣裙"/>
    <m/>
    <d v="2015-08-26T00:00:00"/>
    <d v="1899-12-30T22:18:57"/>
    <s v="3天4时9分10秒"/>
    <x v="2"/>
    <x v="0"/>
    <s v="http://item.taobao.com/item.htm?id=520388244035"/>
  </r>
  <r>
    <n v="121"/>
    <s v="第 3 页 第 29 位"/>
    <s v="MOMO韩版连衣裙女夏 2015新款女装欧洲站夏裙圆领格子中裙女裙子"/>
    <m/>
    <n v="90"/>
    <n v="0.5"/>
    <n v="45"/>
    <n v="45"/>
    <n v="25098869"/>
    <s v="包邮"/>
    <n v="4098"/>
    <n v="4.7999999999999996E-3"/>
    <n v="5003"/>
    <n v="4.4000000000000003E-3"/>
    <n v="225135"/>
    <n v="4.1000000000000003E-3"/>
    <n v="29756"/>
    <n v="24250"/>
    <n v="1.2271000000000001"/>
    <n v="0"/>
    <n v="763"/>
    <m/>
    <m/>
    <m/>
    <s v="卖家承诺24小时内发货|7天无理由|蚂蚁花呗|信用卡支付|集分宝|如实描述"/>
    <s v="广东广州"/>
    <s v="纠结的聪哥"/>
    <d v="2014-05-15T19:23:43"/>
    <s v="4钻"/>
    <s v="4.6; 4.7; 4.6"/>
    <n v="711"/>
    <s v="淘宝"/>
    <n v="0.98119999999999996"/>
    <s v="女装/女士精品 "/>
    <s v=" 连衣裙"/>
    <m/>
    <d v="2015-08-29T00:00:00"/>
    <d v="1899-12-30T10:20:00"/>
    <s v="5天16时10分13秒"/>
    <x v="3"/>
    <x v="3"/>
    <s v="http://item.taobao.com/item.htm?id=520450408333"/>
  </r>
  <r>
    <n v="122"/>
    <s v="第 3 页 第 30 位"/>
    <s v="韩国代购夏季新款韩版甜美清新圆领短袖雪纺碎花修身显瘦连衣裙女"/>
    <s v="WQ083"/>
    <n v="398"/>
    <n v="0.2442"/>
    <n v="97.2"/>
    <n v="97.2"/>
    <n v="1098"/>
    <s v="包邮"/>
    <n v="4066"/>
    <n v="4.7000000000000002E-3"/>
    <n v="4615"/>
    <n v="4.1000000000000003E-3"/>
    <n v="448578"/>
    <n v="8.0999999999999996E-3"/>
    <n v="38162"/>
    <n v="117798"/>
    <n v="0.32400000000000001"/>
    <n v="17"/>
    <n v="5941"/>
    <m/>
    <m/>
    <m/>
    <s v="8天退货，退货邮费买家承担|蚂蚁花呗|信用卡支付|集分宝|如实描述"/>
    <s v="浙江杭州"/>
    <s v="红人楼阁"/>
    <d v="2014-10-10T19:59:57"/>
    <s v="3冠"/>
    <s v="4.9; 4.9; 4.8"/>
    <n v="168360"/>
    <s v="淘宝"/>
    <n v="0.99609999999999999"/>
    <s v="女装/女士精品 "/>
    <s v=" 连衣裙"/>
    <m/>
    <d v="2015-08-30T00:00:00"/>
    <d v="1899-12-30T17:40:56"/>
    <s v="6天23时31分9秒"/>
    <x v="5"/>
    <x v="5"/>
    <s v="http://item.taobao.com/item.htm?id=520070943551"/>
  </r>
  <r>
    <n v="123"/>
    <s v="第 3 页 第 31 位"/>
    <s v="夏季新款女装2015性感包臀ol气质优雅韩版包裙时尚名媛修身连衣裙"/>
    <n v="2426"/>
    <n v="330"/>
    <n v="0.11849999999999999"/>
    <n v="39.1"/>
    <n v="39.1"/>
    <n v="14897"/>
    <s v="包邮"/>
    <n v="4044"/>
    <n v="4.7000000000000002E-3"/>
    <n v="5124"/>
    <n v="4.4999999999999997E-3"/>
    <n v="200348.4"/>
    <n v="3.5999999999999999E-3"/>
    <n v="16708"/>
    <n v="16285"/>
    <n v="1.026"/>
    <n v="0"/>
    <n v="886"/>
    <m/>
    <m/>
    <m/>
    <s v="卖家承诺48小时内发货|7天无理由|集分宝|支付宝支付|如实描述"/>
    <s v="广东广州"/>
    <s v="相信我能2015"/>
    <d v="2014-10-09T02:21:23"/>
    <s v="4钻"/>
    <s v="4.6; 4.6; 4.5"/>
    <n v="5538"/>
    <s v="淘宝"/>
    <n v="0.95320000000000005"/>
    <s v="女装/女士精品 "/>
    <s v=" 连衣裙"/>
    <m/>
    <d v="2015-08-27T00:00:00"/>
    <d v="1899-12-30T15:51:01"/>
    <s v="3天21时41分14秒"/>
    <x v="4"/>
    <x v="1"/>
    <s v="http://item.taobao.com/item.htm?id=520420942231"/>
  </r>
  <r>
    <n v="124"/>
    <s v="第 3 页 第 32 位"/>
    <s v="2015夏季新款女装修身雪纺连衣裙气质名媛小香风无袖衬衫公主裙秋"/>
    <m/>
    <n v="74"/>
    <n v="0.41889999999999999"/>
    <n v="31"/>
    <n v="31"/>
    <n v="236273"/>
    <s v="包邮"/>
    <n v="4041"/>
    <n v="4.7000000000000002E-3"/>
    <n v="4739"/>
    <n v="4.1999999999999997E-3"/>
    <n v="146909"/>
    <n v="2.7000000000000001E-3"/>
    <n v="9112"/>
    <n v="13330"/>
    <n v="0.68359999999999999"/>
    <n v="1"/>
    <n v="1140"/>
    <m/>
    <m/>
    <m/>
    <s v="卖家承诺72小时内发货|7天无理由|蚂蚁花呗|信用卡支付|集分宝|如实描述"/>
    <s v="广东广州"/>
    <s v="宇恒正品"/>
    <d v="2014-04-08T13:22:48"/>
    <s v="3冠"/>
    <s v="4.6; 4.7; 4.6"/>
    <n v="7010"/>
    <s v="淘宝"/>
    <n v="0.9839"/>
    <s v="女装/女士精品 "/>
    <s v=" 连衣裙"/>
    <m/>
    <d v="2015-08-30T00:00:00"/>
    <d v="1899-12-30T16:26:31"/>
    <s v="6天22时16分44秒"/>
    <x v="5"/>
    <x v="6"/>
    <s v="http://item.taobao.com/item.htm?id=52060583254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6">
  <r>
    <n v="1"/>
    <s v="第 1 页 第 1 位"/>
    <s v="2015夏季新款韩版通勤女装圆领短袖气质修身ol连衣裙女中裙淑女裙"/>
    <m/>
    <n v="468"/>
    <n v="0.3342"/>
    <n v="156.41999999999999"/>
    <n v="156.41999999999999"/>
    <n v="8011"/>
    <s v="包邮"/>
    <n v="21808"/>
    <n v="2.5499999999999998E-2"/>
    <n v="30590"/>
    <n v="2.7E-2"/>
    <n v="4784887.8"/>
    <n v="8.6599999999999996E-2"/>
    <n v="173404"/>
    <n v="649367"/>
    <n v="0.26700000000000002"/>
    <n v="21"/>
    <n v="3096"/>
    <m/>
    <m/>
    <m/>
    <s v="8天退货，退货邮费买家承担|蚂蚁花呗|信用卡支付|集分宝|如实描述"/>
    <x v="0"/>
    <s v="悠然1149"/>
    <d v="2014-11-10T20:12:10"/>
    <s v="2冠"/>
    <s v="4.8; 4.8; 4.8"/>
    <n v="36209"/>
    <s v="淘宝"/>
    <n v="0.98460000000000003"/>
    <s v="女装/女士精品 "/>
    <s v=" 连衣裙"/>
    <m/>
    <d v="2015-08-24T00:00:00"/>
    <d v="1899-12-30T22:05:00"/>
    <s v="1天3时55分15秒"/>
    <s v="一"/>
    <s v="http://item.taobao.com/item.htm?id=520635131814"/>
    <s v="http://item.kandianbao.com/520635131814/"/>
    <s v="单件"/>
    <s v="81%(含)-90%(含)"/>
    <s v="H型"/>
    <s v="圆领"/>
    <s v="套头"/>
    <s v="粉红色"/>
    <s v="韩版"/>
    <s v="S，M，L，XL，2XL"/>
    <s v="纯色"/>
    <x v="0"/>
    <m/>
    <m/>
    <m/>
    <s v="蝴蝶结，抽褶，口袋，系带，拉链"/>
    <m/>
    <s v="一步裙"/>
    <s v="2015年夏季"/>
    <m/>
    <m/>
    <m/>
    <s v="通勤"/>
    <m/>
    <s v="中腰"/>
    <s v="麻"/>
    <m/>
    <m/>
    <s v="短袖"/>
    <s v="质量不错(20) ; 穿着漂亮(16) ; 做工不错(14) ; 板型很好(12) ; 服务好(11) ; 很舒适(11) ; "/>
  </r>
  <r>
    <n v="2"/>
    <s v="第 1 页 第 2 位"/>
    <s v="夏季连衣裙大码女装背心裙中长款包臀长裙内搭打底衫OL修身吊带裙"/>
    <s v="6013-"/>
    <n v="104"/>
    <n v="0.1827"/>
    <n v="19"/>
    <n v="19"/>
    <n v="65359"/>
    <s v="包邮"/>
    <n v="21031"/>
    <n v="2.46E-2"/>
    <n v="35057"/>
    <n v="3.09E-2"/>
    <n v="666083"/>
    <n v="1.21E-2"/>
    <n v="48530"/>
    <n v="60393"/>
    <n v="0.80359999999999998"/>
    <n v="9"/>
    <n v="3435"/>
    <m/>
    <m/>
    <m/>
    <s v="7天无理由|蚂蚁花呗|信用卡支付|集分宝|如实描述"/>
    <x v="1"/>
    <s v="物美价廉yy8"/>
    <d v="2014-03-07T13:11:44"/>
    <s v="1冠"/>
    <s v="4.6; 4.6; 4.5"/>
    <n v="2754"/>
    <s v="淘宝"/>
    <n v="0.98170000000000002"/>
    <s v="女装/女士精品 "/>
    <s v=" 连衣裙"/>
    <m/>
    <d v="2015-08-28T00:00:00"/>
    <d v="1899-12-30T15:20:00"/>
    <s v="4天21时10分15秒"/>
    <s v="五"/>
    <s v="http://item.taobao.com/item.htm?id=45418797934"/>
    <s v="http://item.kandianbao.com/45418797934/"/>
    <s v="单件"/>
    <s v="31%(含)-50%(含)"/>
    <s v="A型"/>
    <s v="V领"/>
    <s v="套头"/>
    <s v="玫红.，蓝色比图偏深，西瓜红偏橙色，浅绿比图偏浅，白色，黑色，酒红色，黄色"/>
    <s v="OL风格"/>
    <s v="L码建议105-120斤，M码建议90-105斤，XXL建议130-140，XL码建议120-130，XXXL建议140-155，S码建议75-90斤，买2件优惠3元，买3件优惠5元"/>
    <s v="纯色"/>
    <x v="1"/>
    <s v="其他/other"/>
    <m/>
    <s v="针织"/>
    <s v="连衣裙夏季中长款包臀女长裙大码背心裙内搭打底衫韩版修身吊带裙，印花"/>
    <s v="6013-"/>
    <s v="公主裙"/>
    <s v="2015年夏季"/>
    <m/>
    <m/>
    <m/>
    <s v="通勤"/>
    <m/>
    <s v="中腰"/>
    <s v="涤纶"/>
    <m/>
    <s v="25-29周岁"/>
    <s v="无袖"/>
    <s v="很舒适(170) ; 宝贝很赞(113) ; 穿着漂亮(101) ; 版型好看(85) ; 衣服很合身(67) ; 颜色很美(41) ; "/>
  </r>
  <r>
    <n v="3"/>
    <s v="第 1 页 第 3 位"/>
    <s v="2015夏天新款显瘦牛仔背带裙连衣裙女装夏季潮学生牛仔背心短裙子"/>
    <m/>
    <n v="192"/>
    <n v="0.1198"/>
    <n v="23"/>
    <n v="23"/>
    <n v="945466"/>
    <s v="包邮"/>
    <n v="20824"/>
    <n v="2.4299999999999999E-2"/>
    <n v="25429"/>
    <n v="2.24E-2"/>
    <n v="584867"/>
    <n v="1.06E-2"/>
    <n v="85198"/>
    <n v="199658"/>
    <n v="0.42670000000000002"/>
    <n v="19"/>
    <n v="15799"/>
    <m/>
    <m/>
    <m/>
    <s v="卖家承诺72小时内发货|8天退货，退货邮费买家承担|蚂蚁花呗|信用卡支付|集分宝|如实描述"/>
    <x v="2"/>
    <s v="韩国专柜女装"/>
    <d v="2014-02-11T23:52:03"/>
    <s v="2冠"/>
    <s v="4.6; 4.6; 4.5"/>
    <n v="4594"/>
    <s v="淘宝"/>
    <n v="0.9637"/>
    <s v="女装/女士精品 "/>
    <s v=" 连衣裙"/>
    <m/>
    <d v="2015-08-26T00:00:00"/>
    <d v="1899-12-30T21:39:17"/>
    <s v="3天3时29分32秒"/>
    <s v="三"/>
    <s v="http://item.taobao.com/item.htm?id=45428232575"/>
    <s v="http://item.kandianbao.com/45428232575/"/>
    <s v="单件"/>
    <s v="81%(含)-90%(含)"/>
    <m/>
    <m/>
    <m/>
    <s v="裙子尺寸偏大，深蓝色"/>
    <m/>
    <s v="XXS，XS，S，M，L，XL"/>
    <s v="纯色"/>
    <x v="2"/>
    <s v="背带"/>
    <m/>
    <s v="牛仔布"/>
    <s v="背带，纽扣"/>
    <m/>
    <s v="其他"/>
    <s v="2015年夏季"/>
    <m/>
    <s v="其他"/>
    <s v="无"/>
    <s v="甜美"/>
    <s v="学院"/>
    <s v="宽松腰"/>
    <s v="醋纤"/>
    <m/>
    <s v="18-24周岁"/>
    <s v="无袖"/>
    <s v="质量蛮好(2234) ; 版型漂亮(1276) ; 穿着效果好(1014) ; 大小合适(591) ; 衣服很舒服(541) ; 尺寸有偏差(221) ; "/>
  </r>
  <r>
    <n v="4"/>
    <s v="第 1 页 第 4 位"/>
    <s v="彩黛妃2015新款春夏季大码女装性感修身短袖镂空衣领连衣裙韩版潮"/>
    <s v="C0070"/>
    <n v="128"/>
    <n v="0.1547"/>
    <n v="19.8"/>
    <n v="19.8"/>
    <n v="733657"/>
    <s v="包邮"/>
    <n v="17668"/>
    <n v="2.06E-2"/>
    <n v="22725"/>
    <n v="0.02"/>
    <n v="449955"/>
    <n v="8.0999999999999996E-3"/>
    <n v="105162"/>
    <s v="-"/>
    <s v="-"/>
    <n v="179"/>
    <n v="38269"/>
    <m/>
    <m/>
    <m/>
    <m/>
    <x v="3"/>
    <s v="彩黛妃旗舰店"/>
    <d v="2014-03-25T10:48:46"/>
    <s v="1金冠"/>
    <s v="4.6; 4.6; 4.8"/>
    <n v="308260"/>
    <s v="天猫"/>
    <n v="1"/>
    <s v="女装/女士精品 "/>
    <s v=" 连衣裙"/>
    <m/>
    <d v="2015-08-29T00:00:00"/>
    <d v="1899-12-30T10:16:22"/>
    <s v="5天16时6分37秒"/>
    <s v="六"/>
    <s v="http://item.taobao.com/item.htm?id=43944007169"/>
    <s v="http://item.kandianbao.com/43944007169/"/>
    <s v="单件"/>
    <s v="95%以上"/>
    <m/>
    <s v="圆领"/>
    <s v="套头"/>
    <s v="浅玫红，薄荷绿，浅兰色，黑色"/>
    <s v="韩版"/>
    <s v="S，M，L，XL，XXL"/>
    <s v="纯色"/>
    <x v="2"/>
    <s v="其他/other"/>
    <m/>
    <s v="针织"/>
    <s v="褶皱"/>
    <s v="C0070"/>
    <s v="A字裙"/>
    <s v="2015年夏季"/>
    <s v="聚酯纤维94.8% 聚氨酯弹性纤维(氨纶)5.2%"/>
    <s v="其他"/>
    <s v="彩黛妃"/>
    <s v="通勤"/>
    <m/>
    <s v="高腰"/>
    <s v="涤纶"/>
    <m/>
    <s v="25-29周岁"/>
    <s v="短袖"/>
    <s v="质量蛮好(7231) ; 版型好看(5113) ; 穿着美(3353) ; 衣服很合身(2627) ; 颜色很好(1909) ; 物流太慢(582) ; "/>
  </r>
  <r>
    <n v="5"/>
    <s v="第 1 页 第 5 位"/>
    <s v="凤凤服饰2015夏装新款连衣裙夏裙纯色韩版宽松无袖显瘦遮住小肚腩"/>
    <n v="99"/>
    <n v="299"/>
    <n v="9.9000000000000005E-2"/>
    <n v="29.6"/>
    <n v="29.6"/>
    <n v="20259"/>
    <s v="包邮"/>
    <n v="17586"/>
    <n v="2.0500000000000001E-2"/>
    <n v="18265"/>
    <n v="1.61E-2"/>
    <n v="540644"/>
    <n v="9.7999999999999997E-3"/>
    <n v="26748"/>
    <n v="87202"/>
    <n v="0.30669999999999997"/>
    <n v="2"/>
    <n v="6214"/>
    <m/>
    <m/>
    <m/>
    <s v="7天无理由|蚂蚁花呗|信用卡支付|集分宝|如实描述"/>
    <x v="4"/>
    <s v="ff2012888"/>
    <d v="2012-03-22T12:48:43"/>
    <s v="2冠"/>
    <s v="4.0; 4.1; 4.0"/>
    <n v="3680"/>
    <s v="淘宝"/>
    <n v="0.8931"/>
    <s v="女装/女士精品 "/>
    <s v=" 连衣裙"/>
    <m/>
    <d v="2015-08-27T00:00:00"/>
    <d v="1899-12-30T23:12:10"/>
    <s v="4天5时2分25秒"/>
    <s v="四"/>
    <s v="http://item.taobao.com/item.htm?id=520565996333"/>
    <s v="http://item.kandianbao.com/520565996333/"/>
    <s v="单件"/>
    <s v="81%(含)-90%(含)"/>
    <s v="A型"/>
    <s v="圆领"/>
    <s v="套头"/>
    <s v="活动马上结束涨价，粉红色"/>
    <m/>
    <s v="S，M，L，XL，2XL"/>
    <s v="纯色"/>
    <x v="1"/>
    <s v="其他/other"/>
    <m/>
    <s v="其他"/>
    <m/>
    <n v="99"/>
    <s v="A字裙"/>
    <s v="2015年夏季"/>
    <m/>
    <s v="蝙蝠袖"/>
    <m/>
    <s v="街头"/>
    <m/>
    <s v="宽松腰"/>
    <s v="棉"/>
    <s v="欧美"/>
    <m/>
    <s v="无袖"/>
    <s v="很舒服(66) ; 质量蛮好(50) ; 版型漂亮(49) ; 划算(44) ; 穿着美(36) ; 衣服蛮薄(9) ; "/>
  </r>
  <r>
    <n v="6"/>
    <s v="第 1 页 第 6 位"/>
    <s v="2015夏装新款中老年女装印花连衣裙夏季大码修身中年妈妈装碎花裙"/>
    <n v="136"/>
    <n v="88"/>
    <n v="0.1789"/>
    <n v="15.74"/>
    <n v="15.74"/>
    <n v="5830"/>
    <s v="包邮"/>
    <n v="16114"/>
    <n v="1.8800000000000001E-2"/>
    <n v="31284"/>
    <n v="2.76E-2"/>
    <n v="492410.16"/>
    <n v="8.8999999999999999E-3"/>
    <n v="35684"/>
    <n v="763048"/>
    <n v="4.6800000000000001E-2"/>
    <n v="277"/>
    <n v="25728"/>
    <m/>
    <m/>
    <m/>
    <s v="卖家承诺72小时内发货|7天无理由|蚂蚁花呗|信用卡支付|集分宝|如实描述"/>
    <x v="5"/>
    <s v="酷奇宝贝stb"/>
    <d v="2010-09-02T20:37:06"/>
    <s v="4冠"/>
    <s v="4.7; 4.7; 4.7"/>
    <n v="13776"/>
    <s v="淘宝"/>
    <n v="0.97340000000000004"/>
    <s v="女装/女士精品 "/>
    <s v=" 连衣裙"/>
    <m/>
    <d v="2015-08-23T00:00:00"/>
    <d v="1899-12-30T21:58:07"/>
    <d v="1899-12-30T03:48:22"/>
    <s v="日"/>
    <s v="http://item.taobao.com/item.htm?id=24393792120"/>
    <s v="http://item.kandianbao.com/24393792120/"/>
    <s v="单件"/>
    <s v="81%(含)-90%(含)"/>
    <m/>
    <s v="V领"/>
    <m/>
    <s v="20号色，15号色，19号色，12号色，11号色，5号色，26号色，25号色，23号色，27号色，22号色，28号色，1号色，3号色，2号色，8号色，21号色，13号色，16号色，17号色，18号色"/>
    <m/>
    <s v="XL建议体重100-115，3XL建议体重125-135，2XL建议体重115-125，4XL建议体重135-145，L建议体重80-100，5XL建议体重145-160"/>
    <s v="碎花"/>
    <x v="1"/>
    <m/>
    <m/>
    <m/>
    <s v="3D，印花"/>
    <n v="136"/>
    <s v="大摆型"/>
    <s v="2015年夏季"/>
    <m/>
    <s v="花瓣袖"/>
    <m/>
    <s v="通勤"/>
    <m/>
    <m/>
    <m/>
    <m/>
    <s v="30-34周岁"/>
    <s v="短袖"/>
    <s v="质量不错(2883) ; 衣衣很舒服(1857) ; 人群(1838) ; 版型漂亮(1484) ; 穿上好看(962) ; 码数不合(586) ; "/>
  </r>
  <r>
    <n v="7"/>
    <s v="第 1 页 第 7 位"/>
    <s v="韩国2015春夏季新款女装高腰两件套连衣裙 夏装蓬蓬a字裙短袖套装"/>
    <m/>
    <n v="109"/>
    <n v="0.2661"/>
    <n v="29"/>
    <n v="29"/>
    <n v="1470592"/>
    <s v="包邮"/>
    <n v="14988"/>
    <n v="1.7500000000000002E-2"/>
    <n v="25069"/>
    <n v="2.2100000000000002E-2"/>
    <n v="727001"/>
    <n v="1.32E-2"/>
    <n v="62724"/>
    <n v="55138"/>
    <n v="1.1375999999999999"/>
    <n v="2"/>
    <n v="770"/>
    <m/>
    <m/>
    <m/>
    <s v="卖家承诺20小时内发货|7天无理由|集分宝|支付宝支付|如实描述"/>
    <x v="4"/>
    <s v="人生朱1448200051"/>
    <d v="2015-06-28T20:31:36"/>
    <s v="3钻"/>
    <s v="4.4; 4.4; 4.2"/>
    <n v="8594"/>
    <s v="淘宝"/>
    <n v="0.9627"/>
    <s v="女装/女士精品 "/>
    <s v=" 连衣裙"/>
    <m/>
    <d v="2015-08-23T00:00:00"/>
    <d v="1899-12-30T21:15:47"/>
    <d v="1899-12-30T03:06:02"/>
    <s v="日"/>
    <s v="http://item.taobao.com/item.htm?id=520347387757"/>
    <s v="http://item.kandianbao.com/520347387757/"/>
    <s v="两件套"/>
    <s v="71%(含)-80%(含)"/>
    <s v="A型"/>
    <s v="圆领"/>
    <s v="套头"/>
    <s v="单件上衣，单件裙子，上衣+裙子"/>
    <s v="复古"/>
    <s v="S，M，L，XL，2XL"/>
    <m/>
    <x v="2"/>
    <s v="其他/other"/>
    <m/>
    <s v="欧根纱"/>
    <s v="拼接，蕾丝，印花"/>
    <m/>
    <s v="A字裙"/>
    <s v="2015年夏季"/>
    <m/>
    <s v="常规"/>
    <s v="无"/>
    <s v="通勤"/>
    <m/>
    <s v="高腰"/>
    <s v="涤纶"/>
    <m/>
    <s v="18-24周岁"/>
    <s v="短袖"/>
    <s v="衣服不错(37) ; 版型好(29) ; 很划算(19) ; 态度不错(17) ; 快递不错(16) ; 很舒服(12) ; "/>
  </r>
  <r>
    <n v="8"/>
    <s v="第 1 页 第 8 位"/>
    <s v="2015夏季新品女装 韩版可爱卡通米奇印花开叉中长款短袖T恤连衣裙"/>
    <m/>
    <n v="89"/>
    <n v="0.20219999999999999"/>
    <n v="18"/>
    <n v="18"/>
    <n v="2489091"/>
    <s v="包邮"/>
    <n v="13841"/>
    <n v="1.6199999999999999E-2"/>
    <n v="18282"/>
    <n v="1.61E-2"/>
    <n v="329076"/>
    <n v="6.0000000000000001E-3"/>
    <n v="38864"/>
    <n v="29307"/>
    <n v="1.3261000000000001"/>
    <n v="2"/>
    <n v="5834"/>
    <m/>
    <m/>
    <m/>
    <s v="7天无理由|蚂蚁花呗|信用卡支付|集分宝|如实描述"/>
    <x v="4"/>
    <s v="韩衣馆shop"/>
    <d v="2013-10-24T13:21:55"/>
    <s v="3冠"/>
    <s v="4.7; 4.7; 4.7"/>
    <n v="10680"/>
    <s v="淘宝"/>
    <n v="0.97489999999999999"/>
    <s v="女装/女士精品 "/>
    <s v=" 连衣裙"/>
    <m/>
    <d v="2015-08-24T00:00:00"/>
    <d v="1899-12-30T15:39:43"/>
    <d v="1899-12-30T21:29:58"/>
    <s v="一"/>
    <s v="http://item.taobao.com/item.htm?id=520221451671"/>
    <s v="http://item.kandianbao.com/520221451671/"/>
    <s v="单件"/>
    <s v="31%(含)-50%(含)"/>
    <m/>
    <s v="圆领"/>
    <s v="套头"/>
    <s v="白色，黑色"/>
    <s v="韩版"/>
    <s v="均码（优质正品），均码（普通起球），S（优质正品），M（优质正品），L（优质正品），XL（优质正品），XXL（优质正品），3XL（优质正品），4XL（优质正品），5XL（优质正品），6XL（优质正品），优质质量超好，质量问题包退，收藏送礼物，100%不起球不掉色，预售款28号出"/>
    <s v="卡通动漫"/>
    <x v="3"/>
    <s v="其他/other"/>
    <m/>
    <s v="其他"/>
    <s v="拼接，印花"/>
    <m/>
    <s v="其他"/>
    <s v="2015年夏季"/>
    <m/>
    <s v="常规"/>
    <m/>
    <s v="通勤"/>
    <m/>
    <s v="高腰"/>
    <s v="其他"/>
    <m/>
    <s v="18-24周岁"/>
    <s v="短袖"/>
    <s v="衣服很舒服(464) ; 整体不错(414) ; 版型漂亮(157) ; 穿着效果好(156) ; 布料好(108) ; 大小合适(87) ; "/>
  </r>
  <r>
    <n v="9"/>
    <s v="第 1 页 第 9 位"/>
    <s v="2015夏装新款套装甜美两件套女装裙子 欧洲站夏季短裙雪纺连衣裙"/>
    <m/>
    <n v="118"/>
    <n v="0.32200000000000001"/>
    <n v="38"/>
    <n v="38"/>
    <n v="12720"/>
    <s v="包邮"/>
    <n v="12729"/>
    <n v="1.49E-2"/>
    <n v="14498"/>
    <n v="1.2800000000000001E-2"/>
    <n v="550924"/>
    <n v="0.01"/>
    <n v="111246"/>
    <n v="654964"/>
    <n v="0.1699"/>
    <n v="68"/>
    <n v="15242"/>
    <m/>
    <m/>
    <m/>
    <s v="卖家承诺72小时内发货|8天退货，退货邮费买家承担|蚂蚁花呗|信用卡支付|集分宝|如实描述"/>
    <x v="4"/>
    <s v="wanwalkerman"/>
    <d v="2012-07-22T11:34:23"/>
    <s v="5冠"/>
    <s v="4.7; 4.7; 4.6"/>
    <n v="139674"/>
    <s v="淘宝"/>
    <n v="0.9849"/>
    <s v="女装/女士精品 "/>
    <s v=" 连衣裙"/>
    <m/>
    <d v="2015-08-23T00:00:00"/>
    <d v="1899-12-30T23:02:11"/>
    <d v="1899-12-30T04:52:26"/>
    <s v="日"/>
    <s v="http://item.taobao.com/item.htm?id=45756314177"/>
    <s v="http://item.kandianbao.com/45756314177/"/>
    <s v="两件套"/>
    <m/>
    <m/>
    <s v="圆领"/>
    <s v="拉链"/>
    <s v="白色（一套），单件上衣，提示：马上涨价"/>
    <m/>
    <s v="S，M，L，XL，2XL"/>
    <s v="碎花"/>
    <x v="2"/>
    <m/>
    <m/>
    <s v="雪纺"/>
    <s v="印花"/>
    <m/>
    <s v="公主裙"/>
    <s v="2015年夏季"/>
    <m/>
    <s v="常规"/>
    <s v="三号线女装"/>
    <s v="甜美"/>
    <s v="公主"/>
    <s v="中腰"/>
    <m/>
    <m/>
    <m/>
    <s v="短袖"/>
    <s v="板型很好(1890) ; 质量蛮好(1833) ; 穿着美(875) ; 很舒服(818) ; 码子很准(704) ; 质量不行(187) ; "/>
  </r>
  <r>
    <n v="10"/>
    <s v="第 1 页 第 10 位"/>
    <s v="2015夏装新款韩版连衣裙背心裙修身高腰条纹小香风打底裙蓬蓬裙潮"/>
    <n v="0"/>
    <n v="64"/>
    <n v="0.3594"/>
    <n v="23"/>
    <n v="23"/>
    <n v="1554"/>
    <s v="包邮"/>
    <n v="12668"/>
    <n v="1.4800000000000001E-2"/>
    <n v="15400"/>
    <n v="1.3599999999999999E-2"/>
    <n v="354200"/>
    <n v="6.4000000000000003E-3"/>
    <n v="41830"/>
    <n v="104826"/>
    <n v="0.39900000000000002"/>
    <n v="5"/>
    <n v="2857"/>
    <m/>
    <m/>
    <m/>
    <s v="8天退货，退货邮费买家承担|蚂蚁花呗|信用卡支付|集分宝|如实描述"/>
    <x v="4"/>
    <s v="美丽呼吸韩版女装"/>
    <d v="2014-11-02T19:31:59"/>
    <s v="1冠"/>
    <s v="4.7; 4.7; 4.6"/>
    <n v="3932"/>
    <s v="淘宝"/>
    <n v="0.98019999999999996"/>
    <s v="女装/女士精品 "/>
    <s v=" 连衣裙"/>
    <m/>
    <d v="2015-08-25T00:00:00"/>
    <d v="1899-12-30T22:00:49"/>
    <s v="2天3时51分4秒"/>
    <s v="二"/>
    <s v="http://item.taobao.com/item.htm?id=520487212484"/>
    <s v="http://item.kandianbao.com/520487212484/"/>
    <s v="单件"/>
    <s v="81%(含)-90%(含)"/>
    <m/>
    <m/>
    <s v="套头"/>
    <s v="商城优质版不起球，普通版偏短偏小，普通版轻微起球，请购买商城优质版"/>
    <s v="韩版"/>
    <s v="XXL，提示：面料有弹性，S，M，L，XL"/>
    <s v="条纹"/>
    <x v="2"/>
    <s v="其他/other"/>
    <m/>
    <m/>
    <s v="拼接"/>
    <n v="0"/>
    <s v="公主裙"/>
    <s v="2015年夏季"/>
    <m/>
    <m/>
    <s v="无"/>
    <s v="通勤"/>
    <m/>
    <s v="高腰"/>
    <s v="其他"/>
    <m/>
    <s v="18-24周岁"/>
    <m/>
    <s v="质量好(64) ; 很便宜(53) ; 版型好(53) ; 衣衣很舒服(43) ; 穿上好看(33) ; 尺寸很准(24) ; "/>
  </r>
  <r>
    <n v="11"/>
    <s v="第 1 页 第 11 位"/>
    <s v="2015新雪纺连衣裙大码女装夏装淑女超长款裙子显瘦气质连衣长裙夏"/>
    <s v="QDY15B4018"/>
    <n v="103"/>
    <n v="0.56310000000000004"/>
    <n v="58"/>
    <n v="58"/>
    <n v="4545"/>
    <s v="包邮"/>
    <n v="11097"/>
    <n v="1.2999999999999999E-2"/>
    <n v="13899"/>
    <n v="1.23E-2"/>
    <n v="806142"/>
    <n v="1.46E-2"/>
    <n v="71664"/>
    <s v="-"/>
    <s v="-"/>
    <n v="20"/>
    <n v="18384"/>
    <m/>
    <m/>
    <m/>
    <m/>
    <x v="4"/>
    <s v="迪悠旗舰店"/>
    <d v="2013-07-23T17:25:16"/>
    <s v="4冠"/>
    <s v="4.8; 4.8; 4.8"/>
    <n v="51366"/>
    <s v="天猫"/>
    <n v="1"/>
    <s v="女装/女士精品 "/>
    <s v=" 连衣裙"/>
    <m/>
    <d v="2015-08-26T00:00:00"/>
    <d v="1899-12-30T17:20:08"/>
    <s v="2天23时10分23秒"/>
    <s v="三"/>
    <s v="http://item.taobao.com/item.htm?id=45728286943"/>
    <s v="http://item.kandianbao.com/45728286943/"/>
    <s v="其他"/>
    <s v="95%以上"/>
    <m/>
    <s v="圆领"/>
    <s v="套头"/>
    <s v="酒红色，黑色"/>
    <s v="淑女"/>
    <s v="S，M，L，XL，2XL，3XL，4XL，5XL"/>
    <s v="纯色"/>
    <x v="3"/>
    <s v="其他/other"/>
    <s v="纯电商(只在线上销售)"/>
    <s v="雪纺"/>
    <s v="蝴蝶结，镂空，系带"/>
    <s v="QDY15B4018"/>
    <s v="不规则裙"/>
    <s v="2015年夏季"/>
    <s v="聚酯纤维100%"/>
    <s v="衬衫袖"/>
    <s v="迪悠"/>
    <s v="通勤"/>
    <m/>
    <s v="高腰"/>
    <s v="涤纶"/>
    <m/>
    <s v="25-29周岁"/>
    <s v="短袖"/>
    <s v="衣服不错(3789) ; 穿着效果好(3322) ; 式样好(2915) ; 衣服很舒服(1824) ; 颜色挺正(1338) ; 做工一般(269) ; "/>
  </r>
  <r>
    <n v="12"/>
    <s v="第 1 页 第 12 位"/>
    <s v="韩国代购2015夏季新款女装纯棉麻短袖衬衫裙中长款甜美连衣裙子"/>
    <s v="WQ057"/>
    <n v="428"/>
    <n v="7.51E-2"/>
    <n v="32.14"/>
    <n v="32.14"/>
    <n v="10597"/>
    <s v="包邮"/>
    <n v="10980"/>
    <n v="1.2800000000000001E-2"/>
    <n v="11642"/>
    <n v="1.03E-2"/>
    <n v="374173.88"/>
    <n v="6.7999999999999996E-3"/>
    <n v="49080"/>
    <n v="58539"/>
    <n v="0.83840000000000003"/>
    <n v="3"/>
    <n v="4712"/>
    <m/>
    <m/>
    <m/>
    <s v="7天无理由|蚂蚁花呗|信用卡支付|集分宝|如实描述"/>
    <x v="0"/>
    <s v="普拉达8606"/>
    <d v="2010-06-27T01:35:32"/>
    <s v="1冠"/>
    <s v="4.7; 4.7; 4.6"/>
    <n v="2128"/>
    <s v="淘宝"/>
    <n v="0.94799999999999995"/>
    <s v="女装/女士精品 "/>
    <s v=" 连衣裙"/>
    <m/>
    <d v="2015-08-25T00:00:00"/>
    <d v="1899-12-30T21:00:13"/>
    <s v="2天2时50分28秒"/>
    <s v="二"/>
    <s v="http://item.taobao.com/item.htm?id=520178820639"/>
    <s v="http://item.kandianbao.com/520178820639/"/>
    <s v="单件"/>
    <s v="51%(含)-70%(含)"/>
    <s v="H型"/>
    <s v="POLO领"/>
    <s v="单排扣"/>
    <s v="即将涨价，浅蓝色"/>
    <s v="韩版"/>
    <s v="S，M，L，XL"/>
    <s v="条纹"/>
    <x v="0"/>
    <m/>
    <m/>
    <m/>
    <m/>
    <s v="WQ057"/>
    <s v="A字裙"/>
    <s v="2015年夏季"/>
    <m/>
    <s v="常规"/>
    <s v="werokee"/>
    <s v="通勤"/>
    <m/>
    <s v="高腰"/>
    <s v="棉"/>
    <m/>
    <m/>
    <s v="短袖"/>
    <s v="整体不错(214) ; 版式好(168) ; 穿着效果好(115) ; 衣服很舒服(72) ; 尺码很准(56) ; 颜色挺正(54) ; "/>
  </r>
  <r>
    <n v="13"/>
    <s v="第 1 页 第 13 位"/>
    <s v="2015夏装女装长裙子夏季中长款拼接修身大码优雅印花雪纺连衣裙女"/>
    <s v="2YF001-1213"/>
    <n v="498"/>
    <n v="5.96E-2"/>
    <n v="29.7"/>
    <n v="29.7"/>
    <n v="102289"/>
    <n v="5"/>
    <n v="10964"/>
    <n v="1.2800000000000001E-2"/>
    <n v="14074"/>
    <n v="1.24E-2"/>
    <n v="417997.8"/>
    <n v="7.6E-3"/>
    <n v="54144"/>
    <s v="-"/>
    <s v="-"/>
    <n v="10"/>
    <n v="10971"/>
    <m/>
    <s v="满3件，享包邮，送3元优惠券"/>
    <m/>
    <m/>
    <x v="0"/>
    <s v="漫兰飘香旗舰店"/>
    <d v="2014-04-17T11:40:55"/>
    <s v="4冠"/>
    <s v="4.6; 4.6; 4.8"/>
    <n v="45399"/>
    <s v="天猫"/>
    <n v="1"/>
    <s v="女装/女士精品 "/>
    <s v=" 连衣裙"/>
    <m/>
    <d v="2015-08-28T00:00:00"/>
    <d v="1899-12-30T15:56:10"/>
    <s v="4天21时46分25秒"/>
    <s v="五"/>
    <s v="http://item.taobao.com/item.htm?id=45622403217"/>
    <s v="http://item.kandianbao.com/45622403217/"/>
    <s v="单件"/>
    <s v="95%以上"/>
    <s v="A型"/>
    <s v="圆领"/>
    <s v="套头"/>
    <s v="白色，粉花，黄花"/>
    <s v="淑女"/>
    <s v="M，L，XL，2XL，3XL，4XL，5XL"/>
    <s v="碎花"/>
    <x v="1"/>
    <s v="其他/other"/>
    <s v="纯电商(只在线上销售)"/>
    <s v="雪纺"/>
    <s v="蝴蝶结，荷叶边，抽褶，褶皱，纱网，拉链，印花"/>
    <s v="2YF001-1213"/>
    <s v="公主裙"/>
    <s v="2015年夏季"/>
    <s v="聚酯纤维100%"/>
    <s v="常规"/>
    <s v="漫兰飘香"/>
    <s v="通勤"/>
    <m/>
    <s v="高腰"/>
    <s v="涤纶"/>
    <m/>
    <s v="25-29周岁"/>
    <s v="短袖"/>
    <s v="整体不错(1854) ; 版型好看(1297) ; 很舒服(785) ; 穿着美(623) ; 衣服很合身(589) ; 不合身(296) ; "/>
  </r>
  <r>
    <n v="14"/>
    <s v="第 1 页 第 14 位"/>
    <s v="棉麻连衣裙女2015夏季韩版学生小清新短袖中裙女文艺范亚麻裙子潮"/>
    <m/>
    <n v="138"/>
    <n v="0.22459999999999999"/>
    <n v="31"/>
    <n v="31"/>
    <n v="50031"/>
    <s v="包邮"/>
    <n v="10740"/>
    <n v="1.2500000000000001E-2"/>
    <n v="12348"/>
    <n v="1.09E-2"/>
    <n v="382788"/>
    <n v="6.8999999999999999E-3"/>
    <n v="60956"/>
    <n v="119568"/>
    <n v="0.50980000000000003"/>
    <n v="7"/>
    <n v="6754"/>
    <m/>
    <m/>
    <m/>
    <s v="10天退货，退货邮费买家承担|蚂蚁花呗|信用卡支付|集分宝|如实描述"/>
    <x v="0"/>
    <s v="潮流女装62"/>
    <d v="2013-01-26T08:24:57"/>
    <s v="2冠"/>
    <s v="4.6; 4.7; 4.6"/>
    <n v="6812"/>
    <s v="淘宝"/>
    <n v="0.97219999999999995"/>
    <s v="女装/女士精品 "/>
    <s v=" 连衣裙"/>
    <m/>
    <d v="2015-08-24T00:00:00"/>
    <d v="1899-12-30T21:00:00"/>
    <s v="1天2时50分15秒"/>
    <s v="一"/>
    <s v="http://item.taobao.com/item.htm?id=520101954838"/>
    <s v="http://item.kandianbao.com/520101954838/"/>
    <s v="单件"/>
    <s v="71%(含)-80%(含)"/>
    <s v="A型"/>
    <s v="圆领"/>
    <s v="套头"/>
    <s v="浅蓝色（优质版），粉红色(优质版），藏青色（优质版），粉红色，浅蓝色，藏青色"/>
    <m/>
    <s v="S，M，L，XL"/>
    <s v="格子"/>
    <x v="0"/>
    <m/>
    <m/>
    <s v="织锦"/>
    <s v="蝴蝶结，系带"/>
    <m/>
    <s v="A字裙"/>
    <s v="2015年夏季"/>
    <m/>
    <s v="常规"/>
    <m/>
    <s v="甜美"/>
    <s v="日系"/>
    <s v="中腰"/>
    <s v="麻"/>
    <m/>
    <s v="18-24周岁"/>
    <s v="短袖"/>
    <s v="宝贝很赞(617) ; 外形好看(396) ; 很舒适(349) ; 穿着漂亮(279) ; 料子不错(177) ; 码数很准(161) ; "/>
  </r>
  <r>
    <n v="15"/>
    <s v="第 1 页 第 15 位"/>
    <s v="jto 新款印花雪纺连衣裙夏喇叭袖松紧收腰显瘦短裙a字裙女062325"/>
    <m/>
    <n v="87"/>
    <n v="0.8"/>
    <n v="69.599999999999994"/>
    <n v="69.599999999999994"/>
    <n v="1530"/>
    <s v="包邮"/>
    <n v="10634"/>
    <n v="1.24E-2"/>
    <n v="11950"/>
    <n v="1.0500000000000001E-2"/>
    <n v="831720"/>
    <n v="1.5100000000000001E-2"/>
    <n v="120364"/>
    <n v="252509"/>
    <n v="0.47670000000000001"/>
    <n v="4"/>
    <n v="9848"/>
    <m/>
    <s v="1.单笔订单满199元免运费(不包邮地区：内蒙古;黑龙江;甘肃;青海;新疆;西藏;台湾;香港;澳门;海外)，亲，快下手吧！"/>
    <m/>
    <s v="卖家承诺10天内发货|7天无理由|蚂蚁花呗|信用卡支付|集分宝|如实描述"/>
    <x v="0"/>
    <s v="zjforeverxxxx"/>
    <d v="2008-07-14T22:11:30"/>
    <s v="2金冠"/>
    <s v="4.6; 4.7; 4.7"/>
    <n v="1458842"/>
    <s v="淘宝"/>
    <n v="0.98819999999999997"/>
    <s v="女装/女士精品 "/>
    <s v=" 连衣裙"/>
    <m/>
    <d v="2015-08-23T00:00:00"/>
    <d v="1899-12-30T22:07:27"/>
    <d v="1899-12-30T03:57:42"/>
    <s v="日"/>
    <s v="http://item.taobao.com/item.htm?id=520200646708"/>
    <s v="http://item.kandianbao.com/520200646708/"/>
    <s v="单件"/>
    <s v="81%(含)-90%(含)"/>
    <m/>
    <s v="圆领"/>
    <s v="套头"/>
    <s v="白色，黑色"/>
    <m/>
    <s v="S，M，L，XL"/>
    <s v="花色"/>
    <x v="2"/>
    <s v="其他/other"/>
    <m/>
    <s v="雪纺"/>
    <s v="印花"/>
    <m/>
    <s v="其他"/>
    <s v="2015年夏季"/>
    <m/>
    <s v="喇叭袖"/>
    <m/>
    <s v="甜美"/>
    <s v="公主"/>
    <s v="松紧腰"/>
    <m/>
    <m/>
    <s v="18-24周岁"/>
    <s v="五分袖"/>
    <s v="版型好(911) ; 宝贝很赞(688) ; 穿上好看(638) ; 衣衣很舒服(256) ; 尺寸很准(174) ; 发货服务差(76) ; "/>
  </r>
  <r>
    <n v="16"/>
    <s v="第 1 页 第 16 位"/>
    <s v="2015夏季新款小香风条纹胖MM背心连衣裙宽松大码蓬蓬裙高腰娃娃衫"/>
    <m/>
    <n v="262"/>
    <n v="9.1600000000000001E-2"/>
    <n v="24"/>
    <n v="24"/>
    <n v="457803"/>
    <s v="包邮"/>
    <n v="10333"/>
    <n v="1.21E-2"/>
    <n v="11330"/>
    <n v="0.01"/>
    <n v="271920"/>
    <n v="4.8999999999999998E-3"/>
    <n v="66934"/>
    <n v="44914"/>
    <n v="1.4903"/>
    <n v="3"/>
    <n v="2226"/>
    <m/>
    <m/>
    <m/>
    <s v="7天无理由|蚂蚁花呗|信用卡支付|集分宝|如实描述"/>
    <x v="4"/>
    <s v="小小盼z"/>
    <d v="2013-10-21T13:20:28"/>
    <s v="3冠"/>
    <s v="4.4; 4.5; 4.4"/>
    <n v="12566"/>
    <s v="淘宝"/>
    <n v="0.94430000000000003"/>
    <s v="女装/女士精品 "/>
    <s v=" 连衣裙"/>
    <m/>
    <d v="2015-08-29T00:00:00"/>
    <d v="1899-12-30T22:03:23"/>
    <s v="6天3时53分38秒"/>
    <s v="六"/>
    <s v="http://item.taobao.com/item.htm?id=520448498247"/>
    <s v="http://item.kandianbao.com/520448498247/"/>
    <s v="单件"/>
    <s v="81%(含)-90%(含)"/>
    <m/>
    <s v="圆领"/>
    <s v="拉链"/>
    <s v="图片色 优质布料，图片色 普通布料"/>
    <s v="淑女"/>
    <s v="S，M，L，XL，2XL"/>
    <s v="条纹"/>
    <x v="1"/>
    <s v="其他/other"/>
    <m/>
    <s v="绸缎"/>
    <s v="蝴蝶结，树脂固色，蕾丝"/>
    <m/>
    <s v="大摆型"/>
    <s v="2015年夏季"/>
    <m/>
    <s v="蝙蝠袖"/>
    <m/>
    <s v="通勤"/>
    <m/>
    <s v="中腰"/>
    <s v="棉"/>
    <m/>
    <s v="18-24周岁"/>
    <s v="无袖"/>
    <s v="整体不错(49) ; 版型好看(38) ; 衣服很舒服(29) ; 穿着效果好(25) ; 很划算(18) ; 快递不错(16) ; "/>
  </r>
  <r>
    <n v="17"/>
    <s v="第 1 页 第 17 位"/>
    <s v="2015韩系小清新套装连衣裙女春夏白领拼接两件套装裙吊带背心裙潮"/>
    <s v="fashion326"/>
    <n v="127"/>
    <n v="0.21260000000000001"/>
    <n v="27"/>
    <n v="27"/>
    <n v="185972"/>
    <s v="包邮"/>
    <n v="10281"/>
    <n v="1.2E-2"/>
    <n v="12390"/>
    <n v="1.09E-2"/>
    <n v="334530"/>
    <n v="6.1000000000000004E-3"/>
    <n v="85032"/>
    <n v="77105"/>
    <n v="1.1028"/>
    <n v="9"/>
    <n v="5282"/>
    <m/>
    <s v="1.单笔订单满10元免运费(不包邮地区：台湾;香港;澳门;海外)，亲，快下手吧！|2.单笔订单满88元减4元；减后满88元，免运费(不包邮地区：台湾;香港;澳门;海外)，亲，快下手吧！|3.单笔订单满168元减8元；减后满168元，免运费(不包邮地区：台湾;香港;澳门;海外)，亲，快下手吧！|4.单笔订单满328元减16元；减后满328元，免运费(不包邮地区：台湾;香港;澳门;海外)，亲，快下手吧！|5.单笔订单满528元减20元；减后满528元，免运费(不包邮地区：台湾;香港;澳门;海外)，亲，快下手吧！"/>
    <m/>
    <s v="8天退货，退货邮费买家承担|蚂蚁花呗|信用卡支付|集分宝|如实描述"/>
    <x v="0"/>
    <s v="fashion时尚依馆"/>
    <d v="2013-12-12T00:21:30"/>
    <s v="3冠"/>
    <s v="4.6; 4.7; 4.6"/>
    <n v="31264"/>
    <s v="淘宝"/>
    <n v="0.98580000000000001"/>
    <s v="女装/女士精品 "/>
    <s v=" 连衣裙"/>
    <m/>
    <d v="2015-08-29T00:00:00"/>
    <d v="1899-12-30T21:00:00"/>
    <s v="6天2时50分15秒"/>
    <s v="六"/>
    <s v="http://item.taobao.com/item.htm?id=45449529737"/>
    <s v="http://item.kandianbao.com/45449529737/"/>
    <s v="两件套"/>
    <s v="95%以上"/>
    <m/>
    <s v="V领"/>
    <s v="套头"/>
    <s v="单件罩衫，图片色 两件套，单条黑背心"/>
    <s v="韩版"/>
    <s v="质量保证，限今特价，S，M，L，XL，2XL"/>
    <s v="纯色"/>
    <x v="1"/>
    <s v="其他/other"/>
    <m/>
    <s v="织锦"/>
    <m/>
    <s v="fashion326"/>
    <s v="铅笔裙"/>
    <s v="2015年夏季"/>
    <m/>
    <s v="常规"/>
    <s v="fashion"/>
    <s v="通勤"/>
    <m/>
    <s v="中腰"/>
    <s v="棉"/>
    <m/>
    <m/>
    <s v="短袖"/>
    <s v="质量蛮好(640) ; 很舒服(408) ; 穿着美(350) ; 式样好(330) ; 尺码很好(187) ; 质量不行(35) ; "/>
  </r>
  <r>
    <n v="18"/>
    <s v="第 1 页 第 18 位"/>
    <s v="2015夏季包臀莫代尔长裙连衣裙大码吊带修身打底背心裙长款长裙"/>
    <m/>
    <n v="89"/>
    <n v="0.32469999999999999"/>
    <n v="28.9"/>
    <n v="28.9"/>
    <n v="173717"/>
    <s v="包邮"/>
    <n v="10127"/>
    <n v="1.18E-2"/>
    <n v="13577"/>
    <n v="1.2E-2"/>
    <n v="392375.3"/>
    <n v="7.1000000000000004E-3"/>
    <n v="29294"/>
    <n v="57926"/>
    <n v="0.50570000000000004"/>
    <n v="9"/>
    <n v="4994"/>
    <m/>
    <m/>
    <m/>
    <s v="卖家承诺72小时内发货|7天无理由|蚂蚁花呗|信用卡支付|集分宝|如实描述"/>
    <x v="0"/>
    <s v="名款城"/>
    <d v="2011-08-16T18:21:59"/>
    <s v="3冠"/>
    <s v="4.8; 4.8; 4.7"/>
    <n v="12999"/>
    <s v="淘宝"/>
    <n v="0.98740000000000006"/>
    <s v="女装/女士精品 "/>
    <s v=" 连衣裙"/>
    <m/>
    <d v="2015-08-25T00:00:00"/>
    <d v="1899-12-30T16:08:34"/>
    <s v="1天21时58分49秒"/>
    <s v="二"/>
    <s v="http://item.taobao.com/item.htm?id=520135988843"/>
    <s v="http://item.kandianbao.com/520135988843/"/>
    <s v="单件"/>
    <s v="51%(含)-70%(含)"/>
    <s v="H型"/>
    <s v="圆领"/>
    <s v="套头"/>
    <s v="黑色（大裙摆），深灰（大裙摆），浅灰（大裙摆），黑色（小裙摆款），深灰（小裙摆款），浅灰（小裙摆款）"/>
    <s v="韩版"/>
    <s v="S，M，L，XL，2XL"/>
    <s v="纯色"/>
    <x v="3"/>
    <s v="吊带"/>
    <m/>
    <s v="其他"/>
    <m/>
    <m/>
    <s v="一步裙"/>
    <s v="2015年夏季"/>
    <m/>
    <s v="其他"/>
    <m/>
    <s v="通勤"/>
    <m/>
    <s v="高腰"/>
    <s v="莫代尔"/>
    <m/>
    <s v="18-24周岁"/>
    <s v="无袖"/>
    <s v="衣服很舒服(573) ; 质量蛮好(541) ; 穿着效果好(430) ; 版式好(207) ; 尺码很准(204) ; 衣服蛮薄(51) ; "/>
  </r>
  <r>
    <n v="19"/>
    <s v="第 1 页 第 19 位"/>
    <s v="两件套连衣裙欧洲站2015夏装新款套装雪纺裙子背心休闲短裙气质潮"/>
    <m/>
    <n v="128"/>
    <n v="0.28910000000000002"/>
    <n v="37"/>
    <n v="37"/>
    <n v="680"/>
    <s v="包邮"/>
    <n v="8894"/>
    <n v="1.04E-2"/>
    <n v="12223"/>
    <n v="1.0800000000000001E-2"/>
    <n v="452251"/>
    <n v="8.2000000000000007E-3"/>
    <n v="43082"/>
    <n v="78608"/>
    <n v="0.54810000000000003"/>
    <n v="2"/>
    <n v="1137"/>
    <m/>
    <m/>
    <m/>
    <s v="卖家承诺72小时内发货|8天退货，退货邮费买家承担|蚂蚁花呗|信用卡支付|集分宝|如实描述"/>
    <x v="4"/>
    <s v="随心良品"/>
    <d v="2013-06-01T09:19:07"/>
    <s v="4冠"/>
    <s v="4.8; 4.8; 4.8"/>
    <n v="23117"/>
    <s v="淘宝"/>
    <n v="0.98460000000000003"/>
    <s v="女装/女士精品 "/>
    <s v=" 连衣裙"/>
    <m/>
    <d v="2015-08-26T00:00:00"/>
    <d v="1899-12-30T23:00:40"/>
    <s v="3天4时50分55秒"/>
    <s v="三"/>
    <s v="http://item.taobao.com/item.htm?id=520523704111"/>
    <s v="http://item.kandianbao.com/520523704111/"/>
    <s v="两件套"/>
    <s v="81%(含)-90%(含)"/>
    <s v="A型"/>
    <s v="圆领"/>
    <s v="一粒扣"/>
    <s v="单件裙子，单件雪纺背心，上衣+短裙套装，提示：马上停产哦"/>
    <m/>
    <s v="S【优质加内衬】，M【优质加内衬】，L【优质加内衬】"/>
    <s v="抽象图案"/>
    <x v="2"/>
    <s v="吊带"/>
    <m/>
    <s v="雪纺"/>
    <s v="拼接，纽扣，拉链，印花"/>
    <m/>
    <s v="A字裙"/>
    <s v="2015年夏季"/>
    <m/>
    <s v="常规"/>
    <m/>
    <s v="街头"/>
    <m/>
    <s v="高腰"/>
    <s v="其他"/>
    <s v="欧美"/>
    <s v="25-29周岁"/>
    <s v="无袖"/>
    <s v="衣服不错(37) ; 穿着效果好(17) ; 版型漂亮(16) ; 便宜(11) ; 服务态度好(9) ; 衣服很舒服(8) ; "/>
  </r>
  <r>
    <n v="20"/>
    <s v="第 1 页 第 20 位"/>
    <s v="欧洲站2015夏装新款真丝雪纺水墨印花连衣裙收腰显瘦女裙子欧货"/>
    <s v="MY008"/>
    <n v="988"/>
    <n v="0.1615"/>
    <n v="159.6"/>
    <n v="159.6"/>
    <n v="651"/>
    <s v="包邮"/>
    <n v="8733"/>
    <n v="1.0200000000000001E-2"/>
    <n v="9760"/>
    <n v="8.6E-3"/>
    <n v="1557696"/>
    <n v="2.8199999999999999E-2"/>
    <n v="73194"/>
    <n v="690856"/>
    <n v="0.10589999999999999"/>
    <n v="22"/>
    <n v="5051"/>
    <m/>
    <m/>
    <m/>
    <s v="卖家承诺30天内发货|7天无理由|蚂蚁花呗|信用卡支付|集分宝|如实描述"/>
    <x v="0"/>
    <s v="zywj16叶伟林"/>
    <d v="2009-03-02T19:15:09"/>
    <s v="3冠"/>
    <s v="4.7; 4.8; 4.7"/>
    <n v="55049"/>
    <s v="淘宝"/>
    <n v="0.9758"/>
    <s v="女装/女士精品 "/>
    <s v=" 连衣裙"/>
    <m/>
    <d v="2015-08-26T00:00:00"/>
    <d v="1899-12-30T20:20:00"/>
    <s v="3天2时10分15秒"/>
    <s v="三"/>
    <s v="http://item.taobao.com/item.htm?id=520386051081"/>
    <s v="http://item.kandianbao.com/520386051081/"/>
    <s v="单件"/>
    <s v="31%(含)-50%(含)"/>
    <s v="H型"/>
    <s v="圆领"/>
    <s v="单排扣"/>
    <s v="淡雅蓝"/>
    <s v="韩版"/>
    <s v="S，M，L，XL，2XL"/>
    <s v="花色"/>
    <x v="0"/>
    <s v="其他/other"/>
    <m/>
    <s v="雪纺"/>
    <s v="荷叶边，抽褶，印花"/>
    <s v="MY008"/>
    <s v="A字裙"/>
    <s v="2015年夏季"/>
    <m/>
    <s v="常规"/>
    <m/>
    <s v="通勤"/>
    <m/>
    <s v="宽松腰"/>
    <s v="其他"/>
    <m/>
    <m/>
    <s v="七分袖"/>
    <s v="整体不错(42) ; 版型好(35) ; 尺寸很准(28) ; 很舒服(26) ; 穿着美(26) ; 颜色很好(17) ; "/>
  </r>
  <r>
    <n v="21"/>
    <s v="第 1 页 第 21 位"/>
    <s v="歌兔雪纺连衣裙夏季长裙2015夏装清仓特价修身显瘦中长款女装裙子"/>
    <s v="GT15CQZ69"/>
    <n v="298"/>
    <n v="0.29830000000000001"/>
    <n v="88.9"/>
    <n v="88.9"/>
    <n v="8437"/>
    <s v="包邮"/>
    <n v="8355"/>
    <n v="9.7999999999999997E-3"/>
    <n v="11294"/>
    <n v="0.01"/>
    <n v="1004036.6"/>
    <n v="1.8200000000000001E-2"/>
    <n v="145106"/>
    <s v="-"/>
    <s v="-"/>
    <n v="130"/>
    <n v="30222"/>
    <m/>
    <m/>
    <m/>
    <m/>
    <x v="0"/>
    <s v="歌兔服饰旗舰店"/>
    <d v="2013-11-14T14:29:54"/>
    <s v="5冠"/>
    <s v="4.8; 4.8; 4.8"/>
    <n v="105194"/>
    <s v="天猫"/>
    <n v="1"/>
    <s v="女装/女士精品 "/>
    <s v=" 连衣裙"/>
    <m/>
    <d v="2015-08-24T00:00:00"/>
    <d v="1899-12-30T21:01:05"/>
    <s v="1天2时51分20秒"/>
    <s v="一"/>
    <s v="http://item.taobao.com/item.htm?id=44548937074"/>
    <s v="http://item.kandianbao.com/44548937074/"/>
    <s v="单件"/>
    <s v="95%以上"/>
    <m/>
    <s v="V领"/>
    <s v="套头"/>
    <s v="宝石蓝色，薄荷绿色，西瓜红，灰色，纯洁白色，嫩粉色，淡雅紫色，大红色，绿色，天空蓝色，淡黄色，魅力黑色"/>
    <m/>
    <s v="S，M，L，XL，XXL，XS"/>
    <s v="纯色"/>
    <x v="3"/>
    <s v="其他/other"/>
    <m/>
    <s v="雪纺"/>
    <s v="褶皱，拉链"/>
    <s v="GT15CQZ69"/>
    <s v="大摆型"/>
    <s v="2015年夏季"/>
    <s v="新型聚酯纤维100%"/>
    <s v="常规"/>
    <s v="歌兔"/>
    <s v="通勤"/>
    <m/>
    <s v="中腰"/>
    <s v="其他"/>
    <m/>
    <s v="25-29周岁"/>
    <s v="无袖"/>
    <s v="宝贝很赞(10561) ; 版型漂亮(6058) ; 穿着漂亮(5188) ; 很舒适(3834) ; 款式好看(3687) ; 物流慢(372) ; "/>
  </r>
  <r>
    <n v="22"/>
    <s v="第 1 页 第 22 位"/>
    <s v="2015夏季新款气质大码中裙文艺复古棉麻两件套连衣裙亚麻套装裙女"/>
    <m/>
    <n v="144"/>
    <n v="0.30559999999999998"/>
    <n v="44"/>
    <n v="44"/>
    <n v="30212"/>
    <s v="包邮"/>
    <n v="8328"/>
    <n v="9.7000000000000003E-3"/>
    <n v="13084"/>
    <n v="1.15E-2"/>
    <n v="575696"/>
    <n v="1.04E-2"/>
    <n v="18992"/>
    <n v="205427"/>
    <n v="9.2499999999999999E-2"/>
    <n v="9"/>
    <n v="923"/>
    <m/>
    <m/>
    <m/>
    <s v="7天无理由|蚂蚁花呗|信用卡支付|集分宝|如实描述"/>
    <x v="4"/>
    <s v="陈燕芬yyen"/>
    <d v="2013-10-21T12:54:45"/>
    <s v="5钻"/>
    <s v="4.8; 4.7; 4.7"/>
    <n v="2296"/>
    <s v="淘宝"/>
    <n v="0.95960000000000001"/>
    <s v="女装/女士精品 "/>
    <s v=" 连衣裙"/>
    <m/>
    <d v="2015-08-27T00:00:00"/>
    <d v="1899-12-30T11:00:10"/>
    <s v="3天16时50分25秒"/>
    <s v="四"/>
    <s v="http://item.taobao.com/item.htm?id=520826757637"/>
    <s v="http://item.kandianbao.com/520826757637/"/>
    <s v="两件套"/>
    <s v="51%(含)-70%(含)"/>
    <m/>
    <s v="圆领"/>
    <s v="套头"/>
    <s v="粉色【两件套】，灰色【两件套】，绿色【两件套】，粉色外套，灰色外套，绿色外套，背心单件"/>
    <s v="复古"/>
    <s v="S，M，L，XL，2XL，3XL"/>
    <s v="纯色"/>
    <x v="3"/>
    <s v="其他/other"/>
    <m/>
    <m/>
    <s v="荷叶边，不对称，纽扣"/>
    <m/>
    <s v="大摆型"/>
    <s v="2015年夏季"/>
    <m/>
    <s v="常规"/>
    <m/>
    <s v="通勤"/>
    <m/>
    <s v="宽松腰"/>
    <m/>
    <m/>
    <s v="25-29周岁"/>
    <s v="五分袖"/>
    <s v="很舒服(31) ; 外形好看(21) ; 衣服不错(16) ; 很划算(14) ; 穿着美(13) ; 码数很准(11) ; "/>
  </r>
  <r>
    <n v="23"/>
    <s v="第 1 页 第 23 位"/>
    <s v="2015韩版小清新性感露肩收腰碎花连衣裙夏女学生修身显瘦雪纺裙子"/>
    <m/>
    <n v="139"/>
    <n v="0.17269999999999999"/>
    <n v="24"/>
    <n v="24"/>
    <n v="152744"/>
    <s v="包邮"/>
    <n v="8296"/>
    <n v="9.7000000000000003E-3"/>
    <n v="9094"/>
    <n v="8.0000000000000002E-3"/>
    <n v="218256"/>
    <n v="4.0000000000000001E-3"/>
    <n v="61206"/>
    <n v="88663"/>
    <n v="0.69030000000000002"/>
    <n v="2"/>
    <n v="7632"/>
    <m/>
    <m/>
    <m/>
    <s v="7天无理由|蚂蚁花呗|信用卡支付|集分宝|如实描述"/>
    <x v="4"/>
    <s v="小小盼z"/>
    <d v="2013-10-21T13:20:28"/>
    <s v="3冠"/>
    <s v="4.4; 4.5; 4.4"/>
    <n v="12566"/>
    <s v="淘宝"/>
    <n v="0.94430000000000003"/>
    <s v="女装/女士精品 "/>
    <s v=" 连衣裙"/>
    <m/>
    <d v="2015-08-23T00:00:00"/>
    <d v="1899-12-30T21:56:51"/>
    <d v="1899-12-30T03:47:06"/>
    <s v="日"/>
    <s v="http://item.taobao.com/item.htm?id=45781507725"/>
    <s v="http://item.kandianbao.com/45781507725/"/>
    <s v="单件"/>
    <s v="31%(含)-50%(含)"/>
    <m/>
    <s v="圆领"/>
    <s v="其他"/>
    <s v="白色 优质雪纺，黑色 优质雪纺，白色 普通布料，黑色 普通布料"/>
    <s v="韩版"/>
    <s v="收藏送礼，S，M，L，XL，2XL"/>
    <s v="碎花"/>
    <x v="0"/>
    <s v="其他/other"/>
    <m/>
    <s v="雪纺"/>
    <s v="印花"/>
    <m/>
    <m/>
    <s v="2015年夏季"/>
    <m/>
    <s v="其他"/>
    <m/>
    <s v="通勤"/>
    <m/>
    <s v="松紧腰"/>
    <s v="其他"/>
    <m/>
    <s v="18-24周岁"/>
    <s v="短袖"/>
    <s v="版式好(733) ; 整体不错(682) ; 很舒服(472) ; 穿着美(408) ; 尺码很准(183) ; 物流太慢(86) ; "/>
  </r>
  <r>
    <n v="24"/>
    <s v="第 1 页 第 24 位"/>
    <s v="欧洲站2015新款夏季印花连衣裙欧根纱高腰短裙韩版背心裙女装包邮"/>
    <n v="1005"/>
    <n v="336"/>
    <n v="0.52980000000000005"/>
    <n v="178"/>
    <n v="178"/>
    <n v="5433"/>
    <s v="包邮"/>
    <n v="8293"/>
    <n v="9.7000000000000003E-3"/>
    <n v="10574"/>
    <n v="9.2999999999999992E-3"/>
    <n v="1882172"/>
    <n v="3.4099999999999998E-2"/>
    <n v="154226"/>
    <n v="749378"/>
    <n v="0.20580000000000001"/>
    <n v="78"/>
    <n v="2177"/>
    <m/>
    <m/>
    <m/>
    <s v="卖家承诺48小时内发货|7天无理由|蚂蚁花呗|信用卡支付|集分宝|如实描述"/>
    <x v="0"/>
    <s v="童年梦之路"/>
    <d v="2014-09-20T21:38:55"/>
    <s v="1冠"/>
    <s v="4.6; 4.7; 4.6"/>
    <n v="37061"/>
    <s v="淘宝"/>
    <n v="0.97909999999999997"/>
    <s v="女装/女士精品 "/>
    <s v=" 连衣裙"/>
    <m/>
    <d v="2015-08-28T00:00:00"/>
    <d v="1899-12-30T22:02:01"/>
    <s v="5天3时52分16秒"/>
    <s v="五"/>
    <s v="http://item.taobao.com/item.htm?id=520543428983"/>
    <s v="http://item.kandianbao.com/520543428983/"/>
    <s v="单件"/>
    <s v="81%(含)-90%(含)"/>
    <s v="A型"/>
    <s v="娃娃领"/>
    <s v="套头"/>
    <s v="【专属女神范】"/>
    <m/>
    <s v="S，M，L，XL，2XL"/>
    <s v="碎花"/>
    <x v="2"/>
    <s v="其他/other"/>
    <m/>
    <s v="欧根纱"/>
    <s v="印花"/>
    <n v="1005"/>
    <s v="百褶裙"/>
    <s v="2015年夏季"/>
    <m/>
    <s v="其他"/>
    <m/>
    <s v="甜美"/>
    <s v="田园"/>
    <s v="高腰"/>
    <s v="棉"/>
    <m/>
    <m/>
    <s v="无袖"/>
    <s v="外形好看(29) ; 穿着效果好(25) ; 质量蛮好(24) ; 衣服很舒服(20) ; 服务态度好(18) ; 做工很赞(17) ; "/>
  </r>
  <r>
    <n v="25"/>
    <s v="第 1 页 第 25 位"/>
    <s v="2015夏装大码女装超长两件套拼接款修身蕾丝中裙子印花雪纺连衣裙"/>
    <s v="2YF001-6658"/>
    <n v="128"/>
    <n v="0.23200000000000001"/>
    <n v="29.7"/>
    <n v="29.7"/>
    <n v="24279"/>
    <n v="5"/>
    <n v="8239"/>
    <n v="9.5999999999999992E-3"/>
    <n v="10091"/>
    <n v="8.8999999999999999E-3"/>
    <n v="299702.7"/>
    <n v="5.4000000000000003E-3"/>
    <n v="19022"/>
    <s v="-"/>
    <s v="-"/>
    <n v="1"/>
    <n v="3941"/>
    <m/>
    <s v="满3件，享包邮，送3元优惠券"/>
    <m/>
    <m/>
    <x v="0"/>
    <s v="漫兰飘香旗舰店"/>
    <d v="2014-04-17T11:40:55"/>
    <s v="4冠"/>
    <s v="4.6; 4.6; 4.8"/>
    <n v="45399"/>
    <s v="天猫"/>
    <n v="1"/>
    <s v="女装/女士精品 "/>
    <s v=" 连衣裙"/>
    <m/>
    <d v="2015-08-25T00:00:00"/>
    <d v="1899-12-30T20:40:00"/>
    <s v="2天2时30分15秒"/>
    <s v="二"/>
    <s v="http://item.taobao.com/item.htm?id=520518136294"/>
    <s v="http://item.kandianbao.com/520518136294/"/>
    <s v="假两件"/>
    <s v="95%以上"/>
    <s v="A型"/>
    <s v="圆领"/>
    <s v="套头"/>
    <s v="粉色，浅绿色"/>
    <s v="淑女"/>
    <s v="M，L，XL，XXL"/>
    <s v="碎花"/>
    <x v="0"/>
    <s v="其他/other"/>
    <s v="纯电商(只在线上销售)"/>
    <s v="雪纺"/>
    <s v="荷叶边，抽褶，褶皱，拼接，印花"/>
    <s v="2YF001-6658"/>
    <s v="公主裙"/>
    <s v="2015年夏季"/>
    <s v="聚酯纤维100%"/>
    <s v="泡泡袖"/>
    <s v="漫兰飘香"/>
    <s v="通勤"/>
    <m/>
    <s v="中腰"/>
    <s v="涤纶"/>
    <m/>
    <s v="25-29周岁"/>
    <s v="短袖"/>
    <s v="宝贝很赞(466) ; 版式好(343) ; 尺码很准(175) ; 穿着漂亮(155) ; 很舒适(148) ; 尺码不对(58) ; "/>
  </r>
  <r>
    <n v="26"/>
    <s v="第 1 页 第 26 位"/>
    <s v="彩黛妃2015春夏季新款女装性感气质短袖修身显瘦连衣裙韩版L0180"/>
    <s v="L0180"/>
    <n v="128"/>
    <n v="0.1547"/>
    <n v="19.8"/>
    <n v="19.8"/>
    <n v="13683"/>
    <s v="包邮"/>
    <n v="7986"/>
    <n v="9.2999999999999992E-3"/>
    <n v="10582"/>
    <n v="9.2999999999999992E-3"/>
    <n v="209523.6"/>
    <n v="3.8E-3"/>
    <n v="29880"/>
    <s v="-"/>
    <s v="-"/>
    <n v="7"/>
    <n v="9696"/>
    <m/>
    <m/>
    <m/>
    <m/>
    <x v="3"/>
    <s v="彩黛妃旗舰店"/>
    <d v="2014-03-25T10:48:46"/>
    <s v="1金冠"/>
    <s v="4.6; 4.6; 4.8"/>
    <n v="308260"/>
    <s v="天猫"/>
    <n v="1"/>
    <s v="女装/女士精品 "/>
    <s v=" 连衣裙"/>
    <m/>
    <d v="2015-08-27T00:00:00"/>
    <d v="1899-12-30T10:04:14"/>
    <s v="3天15时54分29秒"/>
    <s v="四"/>
    <s v="http://item.taobao.com/item.htm?id=45315416266"/>
    <s v="http://item.kandianbao.com/45315416266/"/>
    <s v="单件"/>
    <s v="95%以上"/>
    <m/>
    <s v="圆领"/>
    <s v="套头"/>
    <s v="十字格"/>
    <s v="韩版"/>
    <s v="S，M，L，XL，XXL"/>
    <s v="其他"/>
    <x v="2"/>
    <s v="其他/other"/>
    <m/>
    <s v="针织"/>
    <m/>
    <s v="L0180"/>
    <s v="其他"/>
    <s v="2015年夏季"/>
    <s v="聚酯纤维94.8% 聚氨酯弹性纤维(氨纶)5.2%"/>
    <s v="常规"/>
    <s v="彩黛妃"/>
    <s v="通勤"/>
    <m/>
    <s v="高腰"/>
    <s v="涤纶"/>
    <m/>
    <s v="25-29周岁"/>
    <s v="短袖"/>
    <s v="宝贝很赞(1715) ; 版型好(1021) ; 穿着漂亮(966) ; 尺寸很准(729) ; 很舒适(574) ; 尺码不对(253) ; "/>
  </r>
  <r>
    <n v="27"/>
    <s v="第 1 页 第 27 位"/>
    <s v="2015夏季新款韩版女装休闲套装连衣裙裤短袖t恤雪纺衫短裙两件套"/>
    <m/>
    <n v="78"/>
    <n v="0.48720000000000002"/>
    <n v="38"/>
    <n v="38"/>
    <n v="268870"/>
    <s v="包邮"/>
    <n v="7916"/>
    <n v="9.1999999999999998E-3"/>
    <n v="9298"/>
    <n v="8.2000000000000007E-3"/>
    <n v="353324"/>
    <n v="6.4000000000000003E-3"/>
    <n v="21184"/>
    <n v="54126"/>
    <n v="0.39140000000000003"/>
    <n v="15"/>
    <n v="3152"/>
    <m/>
    <m/>
    <m/>
    <s v="卖家承诺72小时内发货|7天无理由|蚂蚁花呗|信用卡支付|集分宝|如实描述"/>
    <x v="4"/>
    <s v="雅丹娜韩版女装"/>
    <d v="2013-11-08T22:25:31"/>
    <s v="3冠"/>
    <s v="4.5; 4.5; 4.4"/>
    <n v="8607"/>
    <s v="淘宝"/>
    <n v="0.94940000000000002"/>
    <s v="女装/女士精品 "/>
    <s v=" 连衣裙"/>
    <m/>
    <d v="2015-08-24T00:00:00"/>
    <d v="1899-12-30T10:35:00"/>
    <d v="1899-12-30T16:25:15"/>
    <s v="一"/>
    <s v="http://item.taobao.com/item.htm?id=520090687820"/>
    <s v="http://item.kandianbao.com/520090687820/"/>
    <s v="两件套"/>
    <s v="81%(含)-90%(含)"/>
    <m/>
    <s v="圆领"/>
    <s v="套头"/>
    <s v="白色短袖上衣，黑色短袖上衣，红色短袖上衣，黑色短裙，红色短裙，短袖白衣+黑裙，短袖白衣+红裙，短袖黑衣+黑裙，短袖黑衣+红裙，短袖红衣+黑裙，短袖红衣+红裙，白色长袖上衣，红色长袖上衣，长袖红衣+黑裙，长袖白衣+黑裙，长袖白衣+红裙，长袖红衣+红裙"/>
    <s v="韩版"/>
    <s v="S，M，L，XL，2XL"/>
    <s v="纯色"/>
    <x v="2"/>
    <s v="其他/other"/>
    <m/>
    <s v="雪纺"/>
    <s v="蝴蝶结，荷叶边，抽褶，拼接，纽扣"/>
    <m/>
    <s v="百褶裙"/>
    <s v="2015年夏季"/>
    <m/>
    <s v="泡泡袖"/>
    <m/>
    <s v="通勤"/>
    <m/>
    <s v="中腰"/>
    <s v="棉"/>
    <m/>
    <m/>
    <s v="短袖"/>
    <s v="质量好(368) ; 外形好看(297) ; 穿上好看(131) ; 衣衣很舒服(130) ; 码数很准(100) ; 款式蛮好(71) ; "/>
  </r>
  <r>
    <n v="28"/>
    <s v="第 1 页 第 28 位"/>
    <s v="1嫣洛-dl04新款2015夏装韩版女装圆领时髦女郎印花收腰连衣裙F-29"/>
    <m/>
    <n v="110"/>
    <n v="0.49"/>
    <n v="53.9"/>
    <n v="53.9"/>
    <n v="3457"/>
    <s v="包邮"/>
    <n v="7704"/>
    <n v="8.9999999999999993E-3"/>
    <n v="8426"/>
    <n v="7.4000000000000003E-3"/>
    <n v="454161.4"/>
    <n v="8.2000000000000007E-3"/>
    <n v="73858"/>
    <n v="638129"/>
    <n v="0.1157"/>
    <n v="57"/>
    <n v="11990"/>
    <m/>
    <m/>
    <m/>
    <s v="7天无理由|集分宝|支付宝支付|如实描述"/>
    <x v="0"/>
    <s v="日韩女装专卖"/>
    <d v="2007-02-27T21:26:16"/>
    <s v="4金冠"/>
    <s v="4.6; 4.7; 4.6"/>
    <n v="4387178"/>
    <s v="淘宝"/>
    <n v="0.9879"/>
    <s v="女装/女士精品 "/>
    <s v=" 连衣裙"/>
    <m/>
    <d v="2015-08-26T00:00:00"/>
    <d v="1899-12-30T10:03:20"/>
    <s v="2天15时53分35秒"/>
    <s v="三"/>
    <s v="http://item.taobao.com/item.htm?id=520232454502"/>
    <s v="http://item.kandianbao.com/520232454502/"/>
    <s v="单件"/>
    <s v="30%及以下"/>
    <m/>
    <s v="圆领"/>
    <s v="套头"/>
    <s v="米白色，蓝色"/>
    <m/>
    <s v="S，M，L，XL"/>
    <s v="人物"/>
    <x v="1"/>
    <m/>
    <m/>
    <m/>
    <s v="系带，印花"/>
    <m/>
    <s v="其他"/>
    <s v="2015年夏季"/>
    <m/>
    <s v="常规"/>
    <m/>
    <s v="通勤"/>
    <m/>
    <s v="松紧腰"/>
    <m/>
    <m/>
    <s v="18-24周岁"/>
    <s v="短袖"/>
    <s v="版型漂亮(1343) ; 宝贝很赞(1252) ; 很舒适(1106) ; 穿着漂亮(894) ; 大小合适(650) ; 面料一般(163) ; "/>
  </r>
  <r>
    <n v="29"/>
    <s v="第 1 页 第 29 位"/>
    <s v="2015夏季韩国碎花打底吊带裙女装修身背带短裙雪纺收腰显瘦连衣裙"/>
    <m/>
    <n v="43"/>
    <n v="0.4884"/>
    <n v="21"/>
    <n v="21"/>
    <n v="17788"/>
    <s v="包邮"/>
    <n v="7573"/>
    <n v="8.8000000000000005E-3"/>
    <n v="8794"/>
    <n v="7.7999999999999996E-3"/>
    <n v="184674"/>
    <n v="3.3E-3"/>
    <n v="26472"/>
    <n v="28697"/>
    <n v="0.92249999999999999"/>
    <n v="7"/>
    <n v="1892"/>
    <m/>
    <m/>
    <m/>
    <s v="7天无理由|集分宝|支付宝支付|如实描述"/>
    <x v="4"/>
    <s v="小晗子家"/>
    <d v="2014-04-04T12:47:29"/>
    <s v="5钻"/>
    <s v="4.7; 4.7; 4.6"/>
    <n v="6583"/>
    <s v="淘宝"/>
    <n v="0.97770000000000001"/>
    <s v="女装/女士精品 "/>
    <s v=" 连衣裙"/>
    <m/>
    <d v="2015-08-29T00:00:00"/>
    <d v="1899-12-30T15:10:00"/>
    <s v="5天21时0分15秒"/>
    <s v="六"/>
    <s v="http://item.taobao.com/item.htm?id=520063878818"/>
    <s v="http://item.kandianbao.com/520063878818/"/>
    <s v="单件"/>
    <s v="71%(含)-80%(含)"/>
    <m/>
    <s v="圆领"/>
    <s v="套头"/>
    <s v="浅黄底花 好质量，黑底花 好质量"/>
    <s v="韩版"/>
    <s v="M码 质量保证，L码 质量保证，XL码 质量保证，XL码 普通质量"/>
    <s v="碎花"/>
    <x v="2"/>
    <s v="背带"/>
    <m/>
    <s v="其他"/>
    <s v="褶皱，拼接"/>
    <m/>
    <s v="公主裙"/>
    <s v="2015年夏季"/>
    <m/>
    <s v="常规"/>
    <m/>
    <s v="通勤"/>
    <m/>
    <s v="高腰"/>
    <m/>
    <m/>
    <m/>
    <s v="无袖"/>
    <s v="质量好(140) ; 很舒适(108) ; 版型好(94) ; 穿着漂亮(85) ; 尺寸很准(52) ; 没有色差(34) ; "/>
  </r>
  <r>
    <n v="30"/>
    <s v="第 1 页 第 30 位"/>
    <s v="中年妈妈装中老年连衣裙35-40-45-50岁大码妇女装短袖花裙子夏装"/>
    <n v="1305"/>
    <n v="128"/>
    <n v="0.1779"/>
    <n v="22.77"/>
    <n v="22.77"/>
    <n v="5070"/>
    <s v="包邮"/>
    <n v="7510"/>
    <n v="8.8000000000000005E-3"/>
    <n v="15345"/>
    <n v="1.35E-2"/>
    <n v="349405.65"/>
    <n v="6.3E-3"/>
    <n v="28944"/>
    <n v="482843"/>
    <n v="5.9900000000000002E-2"/>
    <n v="620"/>
    <n v="12841"/>
    <m/>
    <m/>
    <m/>
    <s v="8天退货，退货邮费买家承担|蚂蚁花呗|信用卡支付|集分宝|如实描述"/>
    <x v="5"/>
    <s v="945xujie945"/>
    <d v="2013-05-29T08:39:43"/>
    <s v="3冠"/>
    <s v="4.7; 4.7; 4.7"/>
    <n v="5740"/>
    <s v="淘宝"/>
    <n v="0.99270000000000003"/>
    <s v="女装/女士精品 "/>
    <s v=" 连衣裙"/>
    <m/>
    <d v="2015-08-23T00:00:00"/>
    <d v="1899-12-30T20:43:40"/>
    <d v="1899-12-30T02:33:55"/>
    <s v="日"/>
    <s v="http://item.taobao.com/item.htm?id=38096663728"/>
    <s v="http://item.kandianbao.com/38096663728/"/>
    <s v="单件"/>
    <s v="95%以上"/>
    <s v="A型"/>
    <s v="其他"/>
    <s v="套头"/>
    <s v="03色，05色，08色，09色，10色，11色，12色，13色，15色，16色，18色，25色，29色，26色，19色，27色，28色，21色，20色，22色，23色，17色藏蓝底，宝蓝色，深紫色"/>
    <s v="民族风"/>
    <s v="衣服偏小点，拿不准参考尺码表，L，XL，2XL，3XL，4XL"/>
    <s v="花色"/>
    <x v="1"/>
    <s v="其他/other"/>
    <m/>
    <s v="其他"/>
    <s v="印花"/>
    <n v="1305"/>
    <s v="大摆型"/>
    <s v="2015年夏季"/>
    <m/>
    <s v="常规"/>
    <s v="康之轩"/>
    <s v="通勤"/>
    <m/>
    <s v="中腰"/>
    <s v="其他"/>
    <m/>
    <s v="40-49周岁"/>
    <s v="短袖"/>
    <s v="宝贝很赞(1543) ; 衣衣很舒服(1438) ; 外形好看(1006) ; 人群(991) ; 穿上好看(672) ; 物流慢(117) ; "/>
  </r>
  <r>
    <n v="31"/>
    <s v="第 1 页 第 31 位"/>
    <s v="2015夏季新款修身背心裙 欧美竖条纹显瘦无袖连衣裙V领蓬蓬连衣裙"/>
    <m/>
    <n v="111"/>
    <n v="0.2432"/>
    <n v="27"/>
    <n v="27"/>
    <n v="26367"/>
    <s v="包邮"/>
    <n v="7452"/>
    <n v="8.6999999999999994E-3"/>
    <n v="7822"/>
    <n v="6.8999999999999999E-3"/>
    <n v="211194"/>
    <n v="3.8E-3"/>
    <n v="36440"/>
    <n v="73622"/>
    <n v="0.495"/>
    <n v="6"/>
    <n v="4974"/>
    <m/>
    <m/>
    <m/>
    <s v="卖家承诺72小时内发货|7天无理由|蚂蚁花呗|信用卡支付|集分宝|如实描述"/>
    <x v="4"/>
    <s v="潮_流范儿"/>
    <d v="2014-04-09T17:40:56"/>
    <s v="2冠"/>
    <s v="4.6; 4.6; 4.5"/>
    <n v="5722"/>
    <s v="淘宝"/>
    <n v="0.96989999999999998"/>
    <s v="女装/女士精品 "/>
    <s v=" 连衣裙"/>
    <m/>
    <d v="2015-08-23T00:00:00"/>
    <d v="1899-12-30T22:05:07"/>
    <d v="1899-12-30T03:55:22"/>
    <s v="日"/>
    <s v="http://item.taobao.com/item.htm?id=520589940228"/>
    <s v="http://item.kandianbao.com/520589940228/"/>
    <s v="单件"/>
    <s v="51%(含)-70%(含)"/>
    <s v="A型"/>
    <s v="V领"/>
    <s v="套头"/>
    <s v="图色【优质面料】，【普通粗糙版】"/>
    <m/>
    <s v="S，M，L，XL"/>
    <s v="条纹"/>
    <x v="0"/>
    <s v="背带"/>
    <m/>
    <s v="其他"/>
    <m/>
    <m/>
    <s v="公主裙"/>
    <s v="2015年夏季"/>
    <m/>
    <s v="常规"/>
    <m/>
    <s v="甜美"/>
    <s v="学院"/>
    <s v="中腰"/>
    <s v="其他"/>
    <m/>
    <s v="18-24周岁"/>
    <s v="无袖"/>
    <s v="版型好(95) ; 质量不错(87) ; 穿上好看(85) ; 划算(68) ; 衣衣很舒服(67) ; 料子好(36) ; "/>
  </r>
  <r>
    <n v="32"/>
    <s v="第 1 页 第 32 位"/>
    <s v="2015秋季新款女装大码印花裙子中长款长袖女士t恤时尚连衣裙女秋"/>
    <s v="FXYL2313"/>
    <n v="88"/>
    <n v="0.2727"/>
    <n v="24"/>
    <n v="24"/>
    <n v="69092"/>
    <s v="包邮"/>
    <n v="7395"/>
    <n v="8.6E-3"/>
    <n v="8631"/>
    <n v="7.6E-3"/>
    <n v="207144"/>
    <n v="3.7000000000000002E-3"/>
    <n v="10296"/>
    <s v="-"/>
    <s v="-"/>
    <n v="1"/>
    <n v="2886"/>
    <m/>
    <m/>
    <m/>
    <m/>
    <x v="0"/>
    <s v="famcheyo法香郁旗舰店"/>
    <d v="2013-07-11T13:14:40"/>
    <s v="4冠"/>
    <s v="4.7; 4.7; 4.7"/>
    <n v="15369"/>
    <s v="天猫"/>
    <n v="1"/>
    <s v="女装/女士精品 "/>
    <s v=" 连衣裙"/>
    <m/>
    <d v="2015-08-25T00:00:00"/>
    <d v="1899-12-30T18:56:30"/>
    <s v="2天46分45秒"/>
    <s v="二"/>
    <s v="http://item.taobao.com/item.htm?id=520521452563"/>
    <s v="http://item.kandianbao.com/520521452563/"/>
    <s v="单件"/>
    <s v="51%(含)-70%(含)"/>
    <m/>
    <s v="圆领"/>
    <s v="套头"/>
    <s v="黑色，白色，灰色"/>
    <s v="韩版"/>
    <s v="M，L，XL，XXL"/>
    <s v="字母"/>
    <x v="1"/>
    <s v="其他/other"/>
    <s v="纯电商(只在线上销售)"/>
    <m/>
    <s v="蝴蝶结，荷叶边，铆钉，植绒，流苏，破洞，镂空，抽褶，肩章，亮丝，镶钻，露背，油漆喷溅，手工磨破，贴布，绣花，链条，褶皱，木耳，勾花镂空，口袋，系带，拼接，螺纹，扎花，立体装饰，不对称，绑带，扎染，钉珠，波浪，做旧，亮片，背带，纽扣，纱网，拉链，乱针修补，锈斑处理，树脂固色，蕾丝，燕尾，3D，印花"/>
    <s v="FXYL2313"/>
    <s v="A字裙"/>
    <s v="2015年夏季"/>
    <s v="新型聚酯纤维65% 其他35%"/>
    <s v="常规"/>
    <s v="FAMCHEYO/法·香·郁"/>
    <s v="通勤"/>
    <m/>
    <s v="中腰"/>
    <s v="其他"/>
    <m/>
    <s v="18-24周岁"/>
    <s v="长袖"/>
    <s v="衣服不错(131) ; 衣服很舒服(122) ; 布料好(82) ; 板型很好(44) ; 码子很准(38) ; 穿着效果好(26) ; "/>
  </r>
  <r>
    <n v="33"/>
    <s v="第 1 页 第 33 位"/>
    <s v="韩国代购2015夏装新款无袖公主连衣裙女宽松大码蓬蓬裙高腰娃娃衫"/>
    <n v="25"/>
    <n v="680"/>
    <n v="0.115"/>
    <n v="78.209999999999994"/>
    <n v="78.209999999999994"/>
    <n v="8081"/>
    <s v="包邮"/>
    <n v="7393"/>
    <n v="8.6E-3"/>
    <n v="7936"/>
    <n v="7.0000000000000001E-3"/>
    <n v="620674.56000000006"/>
    <n v="1.12E-2"/>
    <n v="37774"/>
    <n v="57050"/>
    <n v="0.66210000000000002"/>
    <n v="5"/>
    <n v="2592"/>
    <m/>
    <m/>
    <m/>
    <s v="7天无理由|蚂蚁花呗|信用卡支付|集分宝|如实描述"/>
    <x v="4"/>
    <s v="魅影mylove"/>
    <d v="2012-05-23T19:33:34"/>
    <s v="3冠"/>
    <s v="4.7; 4.8; 4.7"/>
    <n v="70278"/>
    <s v="淘宝"/>
    <n v="0.98129999999999995"/>
    <s v="女装/女士精品 "/>
    <s v=" 连衣裙"/>
    <m/>
    <d v="2015-08-28T00:00:00"/>
    <d v="1899-12-30T14:13:00"/>
    <s v="4天20时3分15秒"/>
    <s v="五"/>
    <s v="http://item.taobao.com/item.htm?id=520425699980"/>
    <s v="http://item.kandianbao.com/520425699980/"/>
    <s v="单件"/>
    <s v="81%(含)-90%(含)"/>
    <s v="A型"/>
    <s v="圆领"/>
    <s v="套头"/>
    <s v="白色，深蓝色"/>
    <s v="韩版"/>
    <s v="S，M，L，XL，2XL"/>
    <s v="纯色"/>
    <x v="2"/>
    <s v="其他/other"/>
    <m/>
    <m/>
    <s v="抽褶，褶皱，系带"/>
    <n v="25"/>
    <s v="大摆型"/>
    <s v="2015年夏季"/>
    <m/>
    <s v="常规"/>
    <m/>
    <s v="通勤"/>
    <m/>
    <s v="高腰"/>
    <s v="棉"/>
    <m/>
    <s v="18-24周岁"/>
    <s v="无袖"/>
    <s v="质量好(108) ; 衣衣很舒服(78) ; 外形好看(60) ; 穿上好看(50) ; 款式蛮好(47) ; 做工好(46) ; "/>
  </r>
  <r>
    <n v="34"/>
    <s v="第 1 页 第 34 位"/>
    <s v="2015韩版大码甜美碎花修身显瘦中裙夏中长款中袖印花雪纺连衣裙秋"/>
    <n v="8858"/>
    <n v="91"/>
    <n v="0.32969999999999999"/>
    <n v="30"/>
    <n v="30"/>
    <n v="164161"/>
    <s v="包邮"/>
    <n v="7352"/>
    <n v="8.6E-3"/>
    <n v="9175"/>
    <n v="8.0999999999999996E-3"/>
    <n v="275250"/>
    <n v="5.0000000000000001E-3"/>
    <n v="32076"/>
    <n v="72412"/>
    <n v="0.443"/>
    <n v="3"/>
    <n v="3037"/>
    <m/>
    <m/>
    <m/>
    <s v="卖家承诺48小时内发货|8天退货，退货邮费卖家承担|蚂蚁花呗|信用卡支付|集分宝|如实描述"/>
    <x v="4"/>
    <s v="亚洲电商shopping平台"/>
    <d v="2014-10-21T05:56:29"/>
    <s v="2冠"/>
    <s v="4.7; 4.7; 4.7"/>
    <n v="5773"/>
    <s v="淘宝"/>
    <n v="0.97389999999999999"/>
    <s v="女装/女士精品 "/>
    <s v=" 连衣裙"/>
    <m/>
    <d v="2015-08-28T00:00:00"/>
    <d v="1899-12-30T20:00:00"/>
    <s v="5天1时50分15秒"/>
    <s v="五"/>
    <s v="http://item.taobao.com/item.htm?id=520563537761"/>
    <s v="http://item.kandianbao.com/520563537761/"/>
    <s v="单件"/>
    <s v="71%(含)-80%(含)"/>
    <s v="A型"/>
    <s v="圆领"/>
    <s v="套头"/>
    <s v="绿色原图小花，黄色原图小花，粉色原图小花，收藏送运费险，收藏送淘金币"/>
    <s v="韩版"/>
    <s v="S【优质原版】，M【优质原版】，L【优质原版】，XL【优质原版】，2XL【优质原版】，3XL【优质原版】，S【普通面料】，M【普通面料】，L【普通面料】，XL【普通面料】，2XL【普通面料】，3XL【普通面料】"/>
    <s v="碎花"/>
    <x v="1"/>
    <s v="其他/other"/>
    <m/>
    <s v="雪纺"/>
    <s v="蝴蝶结，木耳，印花"/>
    <n v="8858"/>
    <s v="A字裙"/>
    <s v="2015年夏季"/>
    <m/>
    <s v="喇叭袖"/>
    <s v="时尚新版女装"/>
    <s v="通勤"/>
    <m/>
    <s v="中腰"/>
    <s v="莫代尔"/>
    <m/>
    <s v="18-24周岁"/>
    <s v="五分袖"/>
    <s v="质量蛮好(53) ; 版型好(47) ; 很舒服(34) ; 便宜(29) ; 尺寸很准(22) ; 穿着美(19) ; "/>
  </r>
  <r>
    <n v="35"/>
    <s v="第 1 页 第 35 位"/>
    <s v="欧洲站2015夏季女装印花连衣裙夏中裙时尚显瘦大码胖mm雪纺裙子"/>
    <m/>
    <n v="87"/>
    <n v="0.29470000000000002"/>
    <n v="25.64"/>
    <n v="25.64"/>
    <n v="26956"/>
    <s v="包邮"/>
    <n v="7166"/>
    <n v="8.3999999999999995E-3"/>
    <n v="7929"/>
    <n v="7.0000000000000001E-3"/>
    <n v="203299.56"/>
    <n v="3.7000000000000002E-3"/>
    <n v="11134"/>
    <n v="23607"/>
    <n v="0.47160000000000002"/>
    <n v="12"/>
    <n v="2142"/>
    <m/>
    <m/>
    <m/>
    <s v="卖家承诺24小时内发货|7天无理由|集分宝|支付宝支付|如实描述"/>
    <x v="4"/>
    <s v="幸福是会重生的"/>
    <d v="2014-02-23T14:52:15"/>
    <s v="2冠"/>
    <s v="4.7; 4.7; 4.6"/>
    <n v="4113"/>
    <s v="淘宝"/>
    <n v="0.9768"/>
    <s v="女装/女士精品 "/>
    <s v=" 连衣裙"/>
    <m/>
    <d v="2015-08-29T00:00:00"/>
    <d v="1899-12-30T21:20:40"/>
    <s v="6天3时10分55秒"/>
    <s v="六"/>
    <s v="http://item.taobao.com/item.htm?id=520661672994"/>
    <s v="http://item.kandianbao.com/520661672994/"/>
    <s v="单件"/>
    <s v="81%(含)-90%(含)"/>
    <m/>
    <s v="圆领"/>
    <s v="套头"/>
    <s v="黑色"/>
    <m/>
    <s v="S，M，L，XL"/>
    <s v="花色"/>
    <x v="2"/>
    <s v="其他/other"/>
    <m/>
    <s v="雪纺"/>
    <s v="抽褶，拼接，纽扣，蕾丝，印花"/>
    <m/>
    <s v="其他"/>
    <s v="2015年夏季"/>
    <m/>
    <s v="喇叭袖"/>
    <m/>
    <s v="甜美"/>
    <s v="公主"/>
    <s v="松紧腰"/>
    <m/>
    <m/>
    <m/>
    <s v="五分袖"/>
    <m/>
  </r>
  <r>
    <n v="36"/>
    <s v="第 1 页 第 36 位"/>
    <s v="2015夏装新款显瘦牛仔连衣裙背带裙女夏季潮学生牛仔吊带背心短裙"/>
    <m/>
    <n v="140"/>
    <n v="0.15"/>
    <n v="21"/>
    <n v="21"/>
    <n v="413406"/>
    <s v="包邮"/>
    <n v="7121"/>
    <n v="8.3000000000000001E-3"/>
    <n v="11486"/>
    <n v="1.01E-2"/>
    <n v="241206"/>
    <n v="4.4000000000000003E-3"/>
    <n v="7220"/>
    <n v="18854"/>
    <n v="0.38290000000000002"/>
    <n v="7"/>
    <n v="561"/>
    <m/>
    <m/>
    <m/>
    <s v="卖家承诺24小时内发货|8天退货，退货邮费买家承担|蚂蚁花呗|信用卡支付|集分宝|如实描述"/>
    <x v="2"/>
    <s v="限量女装批发"/>
    <d v="2012-03-30T21:37:12"/>
    <s v="3钻"/>
    <s v="4.7; 4.8; 4.7"/>
    <n v="1942"/>
    <s v="淘宝"/>
    <n v="0.99680000000000002"/>
    <s v="女装/女士精品 "/>
    <s v=" 连衣裙"/>
    <m/>
    <d v="2015-08-23T00:00:00"/>
    <d v="1899-12-30T21:45:00"/>
    <d v="1899-12-30T03:35:15"/>
    <s v="日"/>
    <s v="http://item.taobao.com/item.htm?id=520591170917"/>
    <s v="http://item.kandianbao.com/520591170917/"/>
    <s v="单件"/>
    <s v="81%(含)-90%(含)"/>
    <m/>
    <m/>
    <m/>
    <s v="深蓝色"/>
    <m/>
    <s v="XXS，XS，S，M，L，XL"/>
    <s v="纯色"/>
    <x v="2"/>
    <s v="背带"/>
    <m/>
    <s v="牛仔布"/>
    <s v="口袋，背带，纽扣"/>
    <m/>
    <s v="其他"/>
    <s v="2015年夏季"/>
    <m/>
    <s v="其他"/>
    <s v="无"/>
    <s v="甜美"/>
    <s v="学院"/>
    <s v="宽松腰"/>
    <s v="醋纤"/>
    <m/>
    <s v="18-24周岁"/>
    <s v="无袖"/>
    <s v="质量蛮好(138) ; 很舒服(44) ; 穿着美(38) ; 款式很潮(34) ; 衣服很合身(31) ; 版型好看(30) ; "/>
  </r>
  <r>
    <n v="37"/>
    <s v="第 1 页 第 37 位"/>
    <s v="2015性感荷叶边露肩雪纺连衣裙夏女A字裙短裙宽松显瘦韩国QZ106"/>
    <s v="QZ106"/>
    <n v="158"/>
    <n v="0.62029999999999996"/>
    <n v="98"/>
    <n v="98"/>
    <n v="15992"/>
    <s v="包邮"/>
    <n v="7053"/>
    <n v="8.2000000000000007E-3"/>
    <n v="7537"/>
    <n v="6.6E-3"/>
    <n v="738626"/>
    <n v="1.34E-2"/>
    <n v="147526"/>
    <n v="331485"/>
    <n v="0.44500000000000001"/>
    <n v="5"/>
    <n v="3959"/>
    <m/>
    <m/>
    <m/>
    <s v="卖家承诺12天内发货|7天无理由|蚂蚁花呗|信用卡支付|集分宝|如实描述"/>
    <x v="0"/>
    <s v="女人顶顶大"/>
    <d v="2007-06-15T13:25:37"/>
    <s v="2金冠"/>
    <s v="4.6; 4.7; 4.7"/>
    <n v="2664091"/>
    <s v="淘宝"/>
    <n v="0.98970000000000002"/>
    <s v="女装/女士精品 "/>
    <s v=" 连衣裙"/>
    <m/>
    <d v="2015-08-25T00:00:00"/>
    <d v="1899-12-30T10:00:00"/>
    <s v="1天15时50分15秒"/>
    <s v="二"/>
    <s v="http://item.taobao.com/item.htm?id=520340311664"/>
    <s v="http://item.kandianbao.com/520340311664/"/>
    <s v="单件"/>
    <s v="31%(含)-50%(含)"/>
    <s v="A型"/>
    <s v="V领"/>
    <s v="套头"/>
    <s v="白色，粉红色，蓝色"/>
    <s v="韩版"/>
    <s v="S，M"/>
    <s v="纯色"/>
    <x v="2"/>
    <m/>
    <m/>
    <s v="雪纺"/>
    <s v="荷叶边，镂空"/>
    <s v="QZ106"/>
    <s v="荷叶边裙"/>
    <s v="2015年夏季"/>
    <m/>
    <s v="荷叶袖"/>
    <m/>
    <s v="通勤"/>
    <m/>
    <s v="宽松腰"/>
    <m/>
    <m/>
    <s v="18-24周岁"/>
    <s v="短袖"/>
    <s v="版型漂亮(97) ; 质量好(84) ; 穿上好看(36) ; 衣衣很舒服(30) ; 色彩很好(29) ; 和描述一致(19) ; "/>
  </r>
  <r>
    <n v="38"/>
    <s v="第 1 页 第 38 位"/>
    <s v="韩国代购2015夏装新款女装明星同款修身A字裙中裙红色连衣裙夏季"/>
    <m/>
    <n v="193"/>
    <n v="0.15540000000000001"/>
    <n v="30"/>
    <n v="30"/>
    <n v="11042"/>
    <s v="包邮"/>
    <n v="6974"/>
    <n v="8.0999999999999996E-3"/>
    <n v="8895"/>
    <n v="7.7999999999999996E-3"/>
    <n v="266850"/>
    <n v="4.7999999999999996E-3"/>
    <n v="39956"/>
    <n v="116581"/>
    <n v="0.3427"/>
    <n v="7"/>
    <n v="8214"/>
    <m/>
    <m/>
    <m/>
    <s v="卖家承诺24小时内发货|7天无理由|蚂蚁花呗|集分宝|支付宝支付|如实描述"/>
    <x v="4"/>
    <s v="hao87882894"/>
    <d v="2013-08-14T22:53:45"/>
    <s v="2冠"/>
    <s v="4.6; 4.6; 4.5"/>
    <n v="3240"/>
    <s v="淘宝"/>
    <n v="0.95979999999999999"/>
    <s v="女装/女士精品 "/>
    <s v=" 连衣裙"/>
    <m/>
    <d v="2015-08-28T00:00:00"/>
    <d v="1899-12-30T21:20:00"/>
    <s v="5天3时10分15秒"/>
    <s v="五"/>
    <s v="http://item.taobao.com/item.htm?id=45355935820"/>
    <s v="http://item.kandianbao.com/45355935820/"/>
    <s v="单件"/>
    <s v="81%(含)-90%(含)"/>
    <m/>
    <s v="圆领"/>
    <s v="套头"/>
    <s v="白色，红色"/>
    <s v="韩版"/>
    <s v="S【优质面料】，M【优质面料】，L【优质面料】，XL【优质面料】，S【普通面料】，M【普通面料】，L【普通面料】，XL【普通面料】"/>
    <s v="纯色"/>
    <x v="1"/>
    <s v="其他/other"/>
    <m/>
    <s v="针织"/>
    <s v="荷叶边"/>
    <m/>
    <s v="公主裙"/>
    <s v="2015年夏季"/>
    <m/>
    <s v="常规"/>
    <m/>
    <s v="通勤"/>
    <m/>
    <s v="中腰"/>
    <m/>
    <m/>
    <m/>
    <s v="短袖"/>
    <s v="版型好看(1137) ; 宝贝很赞(996) ; 穿上好看(882) ; 色彩很好(418) ; 衣衣很舒服(386) ; 颜色不行(222) ; "/>
  </r>
  <r>
    <n v="39"/>
    <s v="第 1 页 第 39 位"/>
    <s v="2015夏季新款牛奶丝中老年连衣裙中长款波西米亚复古包臀妈妈LYQ"/>
    <n v="1802"/>
    <n v="118"/>
    <n v="0.1426"/>
    <n v="16.829999999999998"/>
    <n v="16.829999999999998"/>
    <n v="10189"/>
    <s v="包邮"/>
    <n v="6965"/>
    <n v="8.0999999999999996E-3"/>
    <n v="17656"/>
    <n v="1.5599999999999999E-2"/>
    <n v="297150.48"/>
    <n v="5.4000000000000003E-3"/>
    <n v="9080"/>
    <n v="68915"/>
    <n v="0.1318"/>
    <n v="10"/>
    <n v="5887"/>
    <m/>
    <m/>
    <m/>
    <s v="7天无理由|蚂蚁花呗|信用卡支付|集分宝|如实描述"/>
    <x v="5"/>
    <s v="清品幽罱"/>
    <d v="2013-08-25T14:48:12"/>
    <s v="2冠"/>
    <s v="4.7; 4.7; 4.7"/>
    <n v="2499"/>
    <s v="淘宝"/>
    <n v="0.96660000000000001"/>
    <s v="女装/女士精品 "/>
    <s v=" 连衣裙"/>
    <m/>
    <d v="2015-08-24T00:00:00"/>
    <d v="1899-12-30T22:09:58"/>
    <s v="1天4时0分13秒"/>
    <s v="一"/>
    <s v="http://item.taobao.com/item.htm?id=44161806562"/>
    <s v="http://item.kandianbao.com/44161806562/"/>
    <s v="单件"/>
    <s v="81%(含)-90%(含)"/>
    <m/>
    <s v="圆领"/>
    <s v="套头"/>
    <s v="15号色，19号色，10号色，6号色，26号色，25号色，23号色，27号色，22号色，28号色，1号色，3号色，2号色，7号色，21号色，16号色，17号色，18号色，32号色，29号色，30号色，33号色，35号色，40号色，米白色，玫红色，粉红色"/>
    <m/>
    <s v="3X[130-145斤]滕，XL[105-120斤]藤，XXL[115-130斤]藤，L[90-105斤]藤，4X[140-160斤]藤，默认圆通快递，增加2个新花色，活动亏本销售，质量保证，采用牛奶丝面料，以图片为准"/>
    <s v="花色"/>
    <x v="0"/>
    <s v="其他/other"/>
    <m/>
    <s v="其他"/>
    <s v="口袋，拼接，印花"/>
    <n v="1802"/>
    <s v="一步裙"/>
    <s v="2015年夏季"/>
    <m/>
    <s v="常规"/>
    <m/>
    <s v="甜美"/>
    <s v="波西米亚"/>
    <s v="中腰"/>
    <m/>
    <m/>
    <m/>
    <s v="短袖"/>
    <s v="宝贝很赞(233) ; 很舒适(192) ; 版型好看(127) ; 穿着漂亮(97) ; 衣服很合身(96) ; 人群(79) ; "/>
  </r>
  <r>
    <n v="40"/>
    <s v="第 1 页 第 40 位"/>
    <s v="棉麻连衣裙女夏季2015夏装女装新款韩版潮中长款修身显瘦中裙裙子"/>
    <m/>
    <n v="55"/>
    <n v="0.5"/>
    <n v="27.5"/>
    <n v="27.5"/>
    <n v="31731"/>
    <s v="包邮"/>
    <n v="6892"/>
    <n v="8.0999999999999996E-3"/>
    <n v="8711"/>
    <n v="7.7000000000000002E-3"/>
    <n v="239552.5"/>
    <n v="4.3E-3"/>
    <n v="7830"/>
    <n v="21619"/>
    <n v="0.36220000000000002"/>
    <n v="4"/>
    <n v="435"/>
    <m/>
    <m/>
    <m/>
    <s v="卖家承诺48小时内发货|7天无理由|集分宝|支付宝支付|如实描述"/>
    <x v="4"/>
    <s v="清潭洞艾丽丝"/>
    <d v="2013-02-28T12:29:14"/>
    <s v="5钻"/>
    <s v="4.7; 4.7; 4.6"/>
    <n v="2280"/>
    <s v="淘宝"/>
    <n v="0.97230000000000005"/>
    <s v="女装/女士精品 "/>
    <s v=" 连衣裙"/>
    <m/>
    <d v="2015-08-24T00:00:00"/>
    <d v="1899-12-30T22:04:00"/>
    <s v="1天3时54分15秒"/>
    <s v="一"/>
    <s v="http://item.taobao.com/item.htm?id=520492857781"/>
    <s v="http://item.kandianbao.com/520492857781/"/>
    <s v="单件"/>
    <s v="91%(含)-95%(含)"/>
    <m/>
    <s v="圆领"/>
    <s v="套头"/>
    <s v="桔红色，粉红色，红色，绿色"/>
    <s v="韩版"/>
    <s v="收藏宝贝送小礼物，M，L，XL，2XL"/>
    <s v="纯色"/>
    <x v="0"/>
    <s v="其他/other"/>
    <m/>
    <s v="织锦"/>
    <s v="抽褶，褶皱，系带，纽扣"/>
    <m/>
    <s v="A字裙"/>
    <s v="2015年夏季"/>
    <m/>
    <s v="常规"/>
    <m/>
    <s v="通勤"/>
    <m/>
    <s v="中腰"/>
    <s v="麻"/>
    <m/>
    <s v="25-29周岁"/>
    <s v="短袖"/>
    <m/>
  </r>
  <r>
    <n v="41"/>
    <s v="第 1 页 第 41 位"/>
    <s v="夏季新款海边度假雪纺沙滩裙波西米亚长裙碎花印花仙女吊带连衣裙"/>
    <n v="1203"/>
    <n v="78"/>
    <n v="0.35539999999999999"/>
    <n v="27.72"/>
    <n v="27.72"/>
    <n v="18942"/>
    <s v="包邮"/>
    <n v="6816"/>
    <n v="8.0000000000000002E-3"/>
    <n v="8167"/>
    <n v="7.1999999999999998E-3"/>
    <n v="226389.24"/>
    <n v="4.1000000000000003E-3"/>
    <n v="40584"/>
    <n v="114713"/>
    <n v="0.3538"/>
    <n v="7"/>
    <n v="10097"/>
    <m/>
    <m/>
    <m/>
    <s v="卖家承诺24小时内发货|7天无理由|蚂蚁花呗|集分宝|支付宝支付|如实描述"/>
    <x v="4"/>
    <s v="艾米斯金"/>
    <d v="2012-05-10T01:17:59"/>
    <s v="2冠"/>
    <s v="4.6; 4.7; 4.6"/>
    <n v="2345"/>
    <s v="淘宝"/>
    <n v="0.98329999999999995"/>
    <s v="女装/女士精品 "/>
    <s v=" 连衣裙"/>
    <m/>
    <d v="2015-08-26T00:00:00"/>
    <d v="1899-12-30T21:15:07"/>
    <s v="3天3时5分22秒"/>
    <s v="三"/>
    <s v="http://item.taobao.com/item.htm?id=520023042411"/>
    <s v="http://item.kandianbao.com/520023042411/"/>
    <s v="单件"/>
    <s v="71%(含)-80%(含)"/>
    <m/>
    <s v="方领"/>
    <s v="套头"/>
    <s v="碎花款杏色，碎花款黑色，条纹款白色，条纹款蓝色，条纹款黑色"/>
    <s v="复古"/>
    <s v="S 80-98斤，M 98-108斤，L 108-120斤，XL 120-130斤，XXL 130-140斤"/>
    <s v="花色"/>
    <x v="3"/>
    <s v="背带"/>
    <m/>
    <s v="雪纺"/>
    <s v="蝴蝶结，印花"/>
    <n v="1203"/>
    <s v="大摆型"/>
    <s v="2015年夏季"/>
    <m/>
    <s v="其他"/>
    <m/>
    <s v="通勤"/>
    <m/>
    <s v="松紧腰"/>
    <s v="其他"/>
    <m/>
    <s v="18-24周岁"/>
    <s v="无袖"/>
    <s v="版型漂亮(1220) ; 整体不错(1141) ; 穿着效果好(488) ; 衣服很舒服(479) ; 大小合适(253) ; 质量不行(128) ; "/>
  </r>
  <r>
    <n v="42"/>
    <s v="第 1 页 第 42 位"/>
    <s v="2015夏季韩版收腰显瘦印花雪纺露肩连衣裙子吊带一字领大摆中长裙"/>
    <m/>
    <n v="290"/>
    <n v="0.46260000000000001"/>
    <n v="134.16"/>
    <n v="134.16"/>
    <n v="1715"/>
    <s v="包邮"/>
    <n v="6811"/>
    <n v="8.0000000000000002E-3"/>
    <n v="7755"/>
    <n v="6.7999999999999996E-3"/>
    <n v="1040410.8"/>
    <n v="1.8800000000000001E-2"/>
    <n v="75770"/>
    <n v="135914"/>
    <n v="0.5575"/>
    <n v="8"/>
    <n v="4643"/>
    <m/>
    <m/>
    <m/>
    <s v="卖家承诺72小时内发货|7天无理由|蚂蚁花呗|信用卡支付|集分宝|如实描述"/>
    <x v="0"/>
    <s v="时尚靓衣吧11"/>
    <d v="2013-11-12T10:54:42"/>
    <s v="2冠"/>
    <s v="4.8; 4.8; 4.8"/>
    <n v="15853"/>
    <s v="淘宝"/>
    <n v="0.99219999999999997"/>
    <s v="女装/女士精品 "/>
    <s v=" 连衣裙"/>
    <m/>
    <d v="2015-08-30T00:00:00"/>
    <d v="1899-12-30T14:07:00"/>
    <s v="6天19时57分14秒"/>
    <s v="日"/>
    <s v="http://item.taobao.com/item.htm?id=520082649211"/>
    <s v="http://item.kandianbao.com/520082649211/"/>
    <s v="单件"/>
    <s v="51%(含)-70%(含)"/>
    <s v="A型"/>
    <s v="一字领"/>
    <s v="套头"/>
    <s v="米白色，藏青色"/>
    <s v="韩版"/>
    <s v="S，M，L，XL，2XL"/>
    <s v="碎花"/>
    <x v="1"/>
    <s v="吊带"/>
    <m/>
    <s v="雪纺"/>
    <s v="抽褶，褶皱，印花"/>
    <m/>
    <s v="大摆型"/>
    <s v="2015年夏季"/>
    <m/>
    <s v="灯笼袖"/>
    <m/>
    <s v="通勤"/>
    <m/>
    <s v="松紧腰"/>
    <s v="其他"/>
    <m/>
    <m/>
    <s v="短袖"/>
    <s v="版型好看(561) ; 衣服不错(555) ; 穿着效果好(463) ; 衣服很舒服(327) ; 衣服很合身(213) ; 布料好(167) ; "/>
  </r>
  <r>
    <n v="43"/>
    <s v="第 1 页 第 43 位"/>
    <s v="夏天新款女装复古蝴蝶印花修身连衣裙礼服无袖背心打底a字蓬蓬裙"/>
    <m/>
    <n v="98"/>
    <n v="0.38569999999999999"/>
    <n v="37.799999999999997"/>
    <n v="37.799999999999997"/>
    <n v="90248"/>
    <s v="包邮"/>
    <n v="6753"/>
    <n v="7.9000000000000008E-3"/>
    <n v="10282"/>
    <n v="9.1000000000000004E-3"/>
    <n v="388659.6"/>
    <n v="7.0000000000000001E-3"/>
    <n v="23772"/>
    <n v="41788"/>
    <n v="0.56889999999999996"/>
    <n v="9"/>
    <n v="3055"/>
    <m/>
    <m/>
    <m/>
    <s v="15天退货，退货邮费卖家承担|蚂蚁花呗|信用卡支付|集分宝|如实描述"/>
    <x v="4"/>
    <s v="言而必有信88"/>
    <d v="2014-01-30T15:10:39"/>
    <s v="1冠"/>
    <s v="4.7; 4.8; 4.7"/>
    <n v="7628"/>
    <s v="淘宝"/>
    <n v="0.98650000000000004"/>
    <s v="女装/女士精品 "/>
    <s v=" 连衣裙"/>
    <m/>
    <d v="2015-08-23T00:00:00"/>
    <d v="1899-12-30T23:27:59"/>
    <d v="1899-12-30T05:18:13"/>
    <s v="日"/>
    <s v="http://item.taobao.com/item.htm?id=520217571580"/>
    <s v="http://item.kandianbao.com/520217571580/"/>
    <s v="单件"/>
    <s v="95%以上"/>
    <s v="A型"/>
    <s v="圆领"/>
    <s v="套头"/>
    <s v="小丑人白色，蝴蝶白，梦幻王国，欧洲印象，蓝花朵，冰凌花，彩色城堡，玫瑰吉它，可爱鹦鹉，牡丹花，太阳花，中国墨竹，红蝴蝶，蓝蝴蝶，威尼斯，灰蝴蝶，乳白色，白色，灰色，黑色，玫红色，粉红色，杏色，金色，黄色，绿色，蓝色"/>
    <s v="复古"/>
    <s v="S，M，L，XL"/>
    <s v="花色"/>
    <x v="2"/>
    <s v="背带"/>
    <m/>
    <s v="其他"/>
    <s v="褶皱，拉链，3D，印花"/>
    <m/>
    <s v="A字裙"/>
    <s v="2015年夏季"/>
    <m/>
    <s v="常规"/>
    <m/>
    <s v="通勤"/>
    <m/>
    <s v="高腰"/>
    <s v="棉"/>
    <m/>
    <m/>
    <s v="无袖"/>
    <s v="板型很好(221) ; 宝贝很赞(213) ; 穿上好看(101) ; 码子很准(85) ; 人群(38) ; 料子好(34) ; "/>
  </r>
  <r>
    <n v="44"/>
    <s v="第 1 页 第 44 位"/>
    <s v="长裙夏季连衣裙韩国修身碎花大码显瘦雪纺无袖波西米亚印花沙滩裙"/>
    <n v="8715"/>
    <n v="101"/>
    <n v="0.21779999999999999"/>
    <n v="22"/>
    <n v="22"/>
    <n v="11936"/>
    <s v="包邮"/>
    <n v="6689"/>
    <n v="7.7999999999999996E-3"/>
    <n v="8261"/>
    <n v="7.3000000000000001E-3"/>
    <n v="181742"/>
    <n v="3.3E-3"/>
    <n v="26408"/>
    <n v="29308"/>
    <n v="0.90110000000000001"/>
    <n v="9"/>
    <n v="1555"/>
    <m/>
    <m/>
    <m/>
    <s v="卖家承诺48小时内发货|不支持七天无理由|集分宝|支付宝支付|如实描述"/>
    <x v="4"/>
    <s v="hdh红红"/>
    <d v="2015-05-20T19:57:10"/>
    <s v="4钻"/>
    <s v="4.7; 4.7; 4.6"/>
    <n v="1392"/>
    <s v="淘宝"/>
    <n v="0.98380000000000001"/>
    <s v="女装/女士精品 "/>
    <s v=" 连衣裙"/>
    <m/>
    <d v="2015-08-28T00:00:00"/>
    <d v="1899-12-30T11:47:14"/>
    <s v="4天17时37分28秒"/>
    <s v="五"/>
    <s v="http://item.taobao.com/item.htm?id=520049263453"/>
    <s v="http://item.kandianbao.com/520049263453/"/>
    <s v="单件"/>
    <s v="81%(含)-90%(含)"/>
    <m/>
    <s v="圆领"/>
    <s v="套头"/>
    <s v="杏色碎花，小清新花，红祥云，蓝祥云，蓝蝴蝶，其它颜色，粉蝴蝶，灰色，黄色，绿色，深蓝色，蓝色，花色"/>
    <s v="淑女"/>
    <s v="均码"/>
    <s v="花色"/>
    <x v="3"/>
    <s v="背带"/>
    <m/>
    <s v="雪纺"/>
    <s v="拼接，背带，印花"/>
    <n v="8715"/>
    <s v="大摆型"/>
    <s v="2015年夏季"/>
    <m/>
    <s v="常规"/>
    <s v="无"/>
    <s v="通勤"/>
    <m/>
    <s v="高腰"/>
    <s v="棉"/>
    <m/>
    <s v="18-24周岁"/>
    <s v="无袖"/>
    <s v="衣服不错(26) ; 版型好看(20) ; 划算(19) ; 穿着美(11) ; 很舒服(9) ; 快递不错(9) ; "/>
  </r>
  <r>
    <n v="45"/>
    <s v="第 1 页 第 45 位"/>
    <s v="2015打底夏季长裙显瘦吊带长裙莫代尔长裙黑白条纹无袖背心连衣裙"/>
    <m/>
    <n v="49"/>
    <n v="0.40200000000000002"/>
    <n v="19.7"/>
    <n v="19.7"/>
    <n v="67904"/>
    <s v="包邮"/>
    <n v="6636"/>
    <n v="7.7999999999999996E-3"/>
    <n v="9514"/>
    <n v="8.3999999999999995E-3"/>
    <n v="187425.8"/>
    <n v="3.3999999999999998E-3"/>
    <n v="23104"/>
    <n v="117941"/>
    <n v="0.19589999999999999"/>
    <n v="34"/>
    <n v="7435"/>
    <m/>
    <s v="1.单笔订单满65元减3元；亲，快下手吧！|2.单笔订单满70元减5元；减后满70元，送礼物，亲，快下手吧！"/>
    <m/>
    <s v="15天退货，退货邮费卖家承担|蚂蚁花呗|信用卡支付|集分宝|如实描述"/>
    <x v="6"/>
    <s v="奶油喝奶"/>
    <d v="2013-12-09T12:16:26"/>
    <s v="4冠"/>
    <s v="4.8; 4.8; 4.7"/>
    <n v="9441"/>
    <s v="淘宝"/>
    <n v="0.97470000000000001"/>
    <s v="女装/女士精品 "/>
    <s v=" 连衣裙"/>
    <m/>
    <d v="2015-08-28T00:00:00"/>
    <d v="1899-12-30T14:29:07"/>
    <s v="4天20时19分21秒"/>
    <s v="五"/>
    <s v="http://item.taobao.com/item.htm?id=39754010062"/>
    <s v="http://item.kandianbao.com/39754010062/"/>
    <s v="单件"/>
    <s v="95%以上"/>
    <m/>
    <s v="圆领"/>
    <s v="套头"/>
    <s v="黑白条纹，灰色，黑色，玫红色，酒红色，黄色，荧光绿，宝蓝色"/>
    <s v="韩版"/>
    <s v="均码 90-120斤，加大 120-160斤"/>
    <s v="条纹"/>
    <x v="3"/>
    <s v="吊带"/>
    <m/>
    <s v="针织"/>
    <m/>
    <m/>
    <s v="一步裙"/>
    <s v="2015年夏季"/>
    <m/>
    <s v="其他"/>
    <m/>
    <s v="通勤"/>
    <m/>
    <s v="中腰"/>
    <s v="莫代尔"/>
    <m/>
    <m/>
    <s v="无袖"/>
    <s v="很舒适(1419) ; 宝贝很赞(1126) ; 穿着漂亮(517) ; 外形好看(392) ; 码数很准(275) ; 颜色不行(92) ; "/>
  </r>
  <r>
    <n v="46"/>
    <s v="第 1 页 第 46 位"/>
    <s v="2015夏季新款欧洲站时尚名媛柔软欧根纱印花无袖大码连衣裙夏中裙"/>
    <s v="天赐-9898"/>
    <n v="188"/>
    <n v="0.25800000000000001"/>
    <n v="48.51"/>
    <n v="48.51"/>
    <n v="1842"/>
    <s v="包邮"/>
    <n v="6628"/>
    <n v="7.7000000000000002E-3"/>
    <n v="6936"/>
    <n v="6.1000000000000004E-3"/>
    <n v="336465.36"/>
    <n v="6.1000000000000004E-3"/>
    <n v="13166"/>
    <n v="37012"/>
    <n v="0.35570000000000002"/>
    <n v="4"/>
    <n v="1216"/>
    <m/>
    <m/>
    <m/>
    <s v="卖家承诺72小时内发货|8天退货，退货邮费买家承担|蚂蚁花呗|信用卡支付|集分宝|如实描述"/>
    <x v="4"/>
    <s v="tb7973039"/>
    <d v="2011-11-27T23:56:41"/>
    <s v="4钻"/>
    <s v="4.5; 4.6; 4.5"/>
    <n v="3787"/>
    <s v="淘宝"/>
    <n v="0.96099999999999997"/>
    <s v="女装/女士精品 "/>
    <s v=" 连衣裙"/>
    <m/>
    <d v="2015-08-29T00:00:00"/>
    <d v="1899-12-30T21:24:20"/>
    <s v="6天3时14分34秒"/>
    <s v="六"/>
    <s v="http://item.taobao.com/item.htm?id=520014511001"/>
    <s v="http://item.kandianbao.com/520014511001/"/>
    <s v="单件"/>
    <s v="30%及以下"/>
    <s v="A型"/>
    <s v="圆领"/>
    <s v="拉链"/>
    <s v="模特色"/>
    <m/>
    <s v="送运费险，免费试穿，S，M，L，XL，2XL"/>
    <s v="其他"/>
    <x v="0"/>
    <s v="其他/other"/>
    <m/>
    <s v="欧根纱"/>
    <s v="拼接，印花"/>
    <s v="天赐-9898"/>
    <s v="公主裙"/>
    <s v="2015年夏季"/>
    <m/>
    <s v="其他"/>
    <m/>
    <s v="街头"/>
    <m/>
    <s v="高腰"/>
    <s v="棉"/>
    <s v="欧美"/>
    <s v="25-29周岁"/>
    <s v="无袖"/>
    <s v="质量蛮好(110) ; 版型好看(85) ; 很舒服(61) ; 穿着美(58) ; 款式很潮(51) ; 衣服很合身(49) ; "/>
  </r>
  <r>
    <n v="47"/>
    <s v="第 1 页 第 47 位"/>
    <s v="2015夏装新款唐嫣明星同款连衣裙短袖显瘦气质镂空透视小黑裙女装"/>
    <n v="8077"/>
    <n v="299"/>
    <n v="0.2616"/>
    <n v="78.209999999999994"/>
    <n v="78.209999999999994"/>
    <n v="12404"/>
    <s v="包邮"/>
    <n v="6595"/>
    <n v="7.7000000000000002E-3"/>
    <n v="9444"/>
    <n v="8.3000000000000001E-3"/>
    <n v="738615.24"/>
    <n v="1.34E-2"/>
    <n v="47860"/>
    <n v="76793"/>
    <n v="0.62319999999999998"/>
    <n v="7"/>
    <n v="2092"/>
    <m/>
    <m/>
    <m/>
    <s v="卖家承诺24小时内发货|7天无理由|蚂蚁花呗|信用卡支付|集分宝|如实描述"/>
    <x v="4"/>
    <s v="563803170wen"/>
    <d v="2013-06-22T19:07:13"/>
    <s v="2冠"/>
    <s v="4.8; 4.8; 4.7"/>
    <n v="15070"/>
    <s v="淘宝"/>
    <n v="0.98299999999999998"/>
    <s v="女装/女士精品 "/>
    <s v=" 连衣裙"/>
    <m/>
    <d v="2015-08-26T00:00:00"/>
    <d v="1899-12-30T21:10:00"/>
    <s v="3天3时0分14秒"/>
    <s v="三"/>
    <s v="http://item.taobao.com/item.htm?id=520304080374"/>
    <s v="http://item.kandianbao.com/520304080374/"/>
    <s v="单件"/>
    <s v="51%(含)-70%(含)"/>
    <s v="A型"/>
    <s v="圆领"/>
    <s v="套头"/>
    <s v="黑色，红色，蓝色"/>
    <s v="复古"/>
    <s v="S，M，L，XL，2XL"/>
    <s v="纯色"/>
    <x v="0"/>
    <s v="吊带"/>
    <m/>
    <s v="其他"/>
    <s v="镂空，纱网"/>
    <n v="8077"/>
    <m/>
    <s v="2015年夏季"/>
    <m/>
    <m/>
    <s v="韩尚衣潮"/>
    <s v="通勤"/>
    <m/>
    <m/>
    <s v="棉"/>
    <m/>
    <s v="18-24周岁"/>
    <s v="无袖"/>
    <s v="质量不错(142) ; 版型好(76) ; 穿着漂亮(73) ; 很舒适(72) ; 尺寸很准(48) ; 款式很好(30) ; "/>
  </r>
  <r>
    <n v="48"/>
    <s v="第 1 页 第 48 位"/>
    <s v="韩国代购2015夏季新款韩版性感女装显瘦OL包臀蕾丝镂空连衣裙短裙"/>
    <n v="888"/>
    <n v="158"/>
    <n v="0.2525"/>
    <n v="39.9"/>
    <n v="39.9"/>
    <n v="11102"/>
    <s v="包邮"/>
    <n v="6548"/>
    <n v="7.6E-3"/>
    <n v="8198"/>
    <n v="7.1999999999999998E-3"/>
    <n v="327100.2"/>
    <n v="5.8999999999999999E-3"/>
    <n v="37044"/>
    <n v="65682"/>
    <n v="0.56399999999999995"/>
    <n v="7"/>
    <n v="4593"/>
    <m/>
    <m/>
    <m/>
    <s v="卖家承诺48小时内发货|7天无理由|蚂蚁花呗|信用卡支付|集分宝|如实描述"/>
    <x v="4"/>
    <s v="天使之城丶妞妞"/>
    <d v="2014-09-21T20:03:59"/>
    <s v="1冠"/>
    <s v="4.7; 4.7; 4.6"/>
    <n v="4841"/>
    <s v="淘宝"/>
    <n v="0.92290000000000005"/>
    <s v="女装/女士精品 "/>
    <s v=" 连衣裙"/>
    <m/>
    <d v="2015-08-25T00:00:00"/>
    <d v="1899-12-30T02:10:00"/>
    <s v="1天8时0分14秒"/>
    <s v="二"/>
    <s v="http://item.taobao.com/item.htm?id=45818851323"/>
    <s v="http://item.kandianbao.com/45818851323/"/>
    <s v="单件"/>
    <m/>
    <s v="A型"/>
    <s v="圆领"/>
    <s v="拉链"/>
    <s v="黑色，红色，天蓝色"/>
    <m/>
    <s v="S（有内衬），M（有内衬），L（有内衬）"/>
    <s v="纯色"/>
    <x v="0"/>
    <m/>
    <m/>
    <s v="蕾丝"/>
    <m/>
    <n v="888"/>
    <s v="其他"/>
    <s v="2015年夏季"/>
    <m/>
    <s v="常规"/>
    <s v="00后"/>
    <s v="通勤"/>
    <m/>
    <s v="中腰"/>
    <m/>
    <m/>
    <m/>
    <s v="短袖"/>
    <s v="整体不错(479) ; 板型很好(434) ; 穿着效果好(279) ; 衣服很舒服(220) ; 颜色挺正(196) ; 质量不行(33) ; "/>
  </r>
  <r>
    <n v="49"/>
    <s v="第 2 页 第 1 位"/>
    <s v="2015夏装新款女装长裙子优雅中长款修身大码拼接印花雪纺连衣裙女"/>
    <s v="2YF2268--429"/>
    <n v="498"/>
    <n v="5.96E-2"/>
    <n v="29.7"/>
    <n v="29.7"/>
    <n v="393081"/>
    <n v="5"/>
    <n v="6289"/>
    <n v="7.3000000000000001E-3"/>
    <n v="8070"/>
    <n v="7.1000000000000004E-3"/>
    <n v="239679"/>
    <n v="4.3E-3"/>
    <n v="43462"/>
    <s v="-"/>
    <s v="-"/>
    <n v="10"/>
    <n v="13850"/>
    <m/>
    <s v="满3件，享包邮，送3元优惠券"/>
    <m/>
    <m/>
    <x v="0"/>
    <s v="漫兰飘香旗舰店"/>
    <d v="2014-04-17T11:40:55"/>
    <s v="4冠"/>
    <s v="4.6; 4.6; 4.8"/>
    <n v="45399"/>
    <s v="天猫"/>
    <n v="1"/>
    <s v="女装/女士精品 "/>
    <s v=" 连衣裙"/>
    <m/>
    <d v="2015-08-28T00:00:00"/>
    <d v="1899-12-30T22:40:20"/>
    <s v="5天4时30分34秒"/>
    <s v="五"/>
    <s v="http://item.taobao.com/item.htm?id=45573789007"/>
    <s v="http://item.kandianbao.com/45573789007/"/>
    <s v="单件"/>
    <s v="95%以上"/>
    <s v="A型"/>
    <s v="圆领"/>
    <s v="套头"/>
    <s v="木纹花，粉花，绿花，黄花"/>
    <s v="韩版"/>
    <s v="M，L，XL，XXL，3XL"/>
    <s v="碎花"/>
    <x v="3"/>
    <s v="其他/other"/>
    <s v="纯电商(只在线上销售)"/>
    <s v="雪纺"/>
    <s v="荷叶边，系带，印花"/>
    <s v="2YF2268--429"/>
    <s v="公主裙"/>
    <s v="2015年夏季"/>
    <s v="聚酯纤维100%"/>
    <s v="常规"/>
    <s v="漫兰飘香"/>
    <s v="通勤"/>
    <m/>
    <s v="中腰"/>
    <s v="涤纶"/>
    <m/>
    <s v="25-29周岁"/>
    <s v="短袖"/>
    <s v="衣服不错(2961) ; 版型漂亮(2161) ; 衣服很舒服(1416) ; 穿着效果好(919) ; 大小合适(866) ; 尺寸有偏差(277) ; "/>
  </r>
  <r>
    <n v="50"/>
    <s v="第 2 页 第 2 位"/>
    <s v="2015夏装新款女装韩版名媛假两件套装裙子短袖雪纺连衣裙女打底裙"/>
    <m/>
    <n v="173"/>
    <n v="0.1908"/>
    <n v="33"/>
    <n v="33"/>
    <n v="28996"/>
    <s v="包邮"/>
    <n v="6286"/>
    <n v="7.3000000000000001E-3"/>
    <n v="8616"/>
    <n v="7.6E-3"/>
    <n v="284328"/>
    <n v="5.1000000000000004E-3"/>
    <n v="19784"/>
    <n v="56334"/>
    <n v="0.35120000000000001"/>
    <n v="19"/>
    <n v="1785"/>
    <m/>
    <m/>
    <m/>
    <s v="7天无理由|蚂蚁花呗|信用卡支付|集分宝|如实描述"/>
    <x v="4"/>
    <s v="欣欣衣衣66"/>
    <d v="2014-06-18T17:03:28"/>
    <s v="3冠"/>
    <s v="4.6; 4.6; 4.5"/>
    <n v="24456"/>
    <s v="淘宝"/>
    <n v="0.98480000000000001"/>
    <s v="女装/女士精品 "/>
    <s v=" 连衣裙"/>
    <m/>
    <d v="2015-08-26T00:00:00"/>
    <d v="1899-12-30T22:00:00"/>
    <s v="3天3时50分14秒"/>
    <s v="三"/>
    <s v="http://item.taobao.com/item.htm?id=520091596879"/>
    <s v="http://item.kandianbao.com/520091596879/"/>
    <s v="假两件"/>
    <s v="95%以上"/>
    <s v="A型"/>
    <s v="圆领"/>
    <s v="拉链"/>
    <s v="米白（优质布料），浅蓝（优质布料），米白色，浅蓝色"/>
    <s v="韩版"/>
    <s v="S，M，L，XL，2XL"/>
    <s v="碎花"/>
    <x v="2"/>
    <s v="其他/other"/>
    <m/>
    <s v="雪纺"/>
    <s v="钉珠，拉链，印花"/>
    <m/>
    <s v="灯笼裙"/>
    <s v="2015年夏季"/>
    <m/>
    <s v="公主袖"/>
    <m/>
    <s v="通勤"/>
    <m/>
    <s v="高腰"/>
    <s v="棉"/>
    <m/>
    <s v="18-24周岁"/>
    <s v="短袖"/>
    <s v="衣服不错(285) ; 版型好(155) ; 衣服很舒服(127) ; 穿着效果好(120) ; 尺寸很准(93) ; 款式好(86) ; "/>
  </r>
  <r>
    <n v="51"/>
    <s v="第 2 页 第 3 位"/>
    <s v="2015夏季裙子女露背收腰显瘦v领抹胸修身性感雪纺无袖连衣裙短裙"/>
    <m/>
    <n v="188"/>
    <n v="0.2054"/>
    <n v="38.61"/>
    <n v="38.61"/>
    <n v="150101"/>
    <s v="包邮"/>
    <n v="6214"/>
    <n v="7.3000000000000001E-3"/>
    <n v="8671"/>
    <n v="7.6E-3"/>
    <n v="334787.31"/>
    <n v="6.1000000000000004E-3"/>
    <n v="35890"/>
    <n v="39701"/>
    <n v="0.90400000000000003"/>
    <n v="2"/>
    <n v="1491"/>
    <m/>
    <m/>
    <m/>
    <s v="卖家承诺48小时内发货|7天无理由|蚂蚁花呗|信用卡支付|集分宝|如实描述"/>
    <x v="4"/>
    <s v="韩流时尚女人街"/>
    <d v="2014-02-21T14:05:36"/>
    <s v="1冠"/>
    <s v="4.7; 4.7; 4.7"/>
    <n v="5116"/>
    <s v="淘宝"/>
    <n v="0.97709999999999997"/>
    <s v="女装/女士精品 "/>
    <s v=" 连衣裙"/>
    <m/>
    <d v="2015-08-23T00:00:00"/>
    <d v="1899-12-30T19:08:14"/>
    <s v="58分28秒"/>
    <s v="日"/>
    <s v="http://item.taobao.com/item.htm?id=45761398641"/>
    <s v="http://item.kandianbao.com/45761398641/"/>
    <s v="其他"/>
    <s v="31%(含)-50%(含)"/>
    <m/>
    <s v="其他"/>
    <s v="其他"/>
    <s v="白色，黑色"/>
    <s v="复古"/>
    <s v="S，M，L，XL"/>
    <s v="其他"/>
    <x v="2"/>
    <s v="吊带"/>
    <m/>
    <s v="其他"/>
    <s v="蝴蝶结"/>
    <m/>
    <s v="其他"/>
    <s v="2015年春季"/>
    <m/>
    <s v="其他"/>
    <m/>
    <s v="通勤"/>
    <m/>
    <s v="高腰"/>
    <s v="其他"/>
    <m/>
    <m/>
    <s v="无袖"/>
    <s v="整体不错(133) ; 板型很好(111) ; 穿着美(91) ; 很舒服(61) ; 码子很准(35) ; 款式漂亮(29) ; "/>
  </r>
  <r>
    <n v="52"/>
    <s v="第 2 页 第 4 位"/>
    <s v="歌兔印花连衣裙夏季长裙碎花雪纺2015夏装修身显瘦女装中长款裙子"/>
    <s v="GT15CQZ73"/>
    <n v="298"/>
    <n v="0.33189999999999997"/>
    <n v="98.9"/>
    <n v="98.9"/>
    <n v="3559"/>
    <s v="包邮"/>
    <n v="6201"/>
    <n v="7.1999999999999998E-3"/>
    <n v="7999"/>
    <n v="7.1000000000000004E-3"/>
    <n v="791101.1"/>
    <n v="1.43E-2"/>
    <n v="92930"/>
    <s v="-"/>
    <s v="-"/>
    <n v="27"/>
    <n v="17776"/>
    <m/>
    <m/>
    <m/>
    <m/>
    <x v="0"/>
    <s v="歌兔服饰旗舰店"/>
    <d v="2013-11-14T14:29:54"/>
    <s v="5冠"/>
    <s v="4.8; 4.8; 4.8"/>
    <n v="105194"/>
    <s v="天猫"/>
    <n v="1"/>
    <s v="女装/女士精品 "/>
    <s v=" 连衣裙"/>
    <m/>
    <d v="2015-08-25T00:00:00"/>
    <d v="1899-12-30T21:00:12"/>
    <s v="2天2时50分26秒"/>
    <s v="二"/>
    <s v="http://item.taobao.com/item.htm?id=44630071873"/>
    <s v="http://item.kandianbao.com/44630071873/"/>
    <s v="单件"/>
    <s v="95%以上"/>
    <m/>
    <s v="V领"/>
    <s v="套头"/>
    <s v="椰树印花，向日葵印花，黑色印花，牡丹印花，鸟语花香，红色印花，蓝色印花"/>
    <s v="韩版"/>
    <s v="S，M，L，XL，XXL"/>
    <s v="花色"/>
    <x v="3"/>
    <s v="其他/other"/>
    <m/>
    <s v="雪纺"/>
    <s v="抽褶，褶皱，拉链"/>
    <s v="GT15CQZ73"/>
    <s v="大摆型"/>
    <s v="2015年夏季"/>
    <s v="聚酯纤维100%"/>
    <s v="其他"/>
    <s v="歌兔"/>
    <s v="通勤"/>
    <m/>
    <s v="宽松腰"/>
    <s v="涤纶"/>
    <m/>
    <s v="25-29周岁"/>
    <s v="无袖"/>
    <s v="衣服不错(5689) ; 版式好(3542) ; 穿着美(2966) ; 很舒服(2618) ; 款式好(2388) ; 料子差(235) ; "/>
  </r>
  <r>
    <n v="53"/>
    <s v="第 2 页 第 5 位"/>
    <s v="欧洲站2015夏装新款韩版修身显瘦欧根纱印花背心裙子无袖连衣裙女"/>
    <s v="FM150610"/>
    <n v="588"/>
    <n v="0.26329999999999998"/>
    <n v="154.84"/>
    <n v="154.84"/>
    <n v="868"/>
    <s v="包邮"/>
    <n v="6151"/>
    <n v="7.1999999999999998E-3"/>
    <n v="8187"/>
    <n v="7.1999999999999998E-3"/>
    <n v="1267675.08"/>
    <n v="2.29E-2"/>
    <n v="68692"/>
    <n v="137617"/>
    <n v="0.49919999999999998"/>
    <n v="6"/>
    <n v="1424"/>
    <m/>
    <m/>
    <m/>
    <s v="7天无理由|蚂蚁花呗|信用卡支付|集分宝|如实描述"/>
    <x v="0"/>
    <s v="juju899071"/>
    <d v="2010-06-13T01:01:01"/>
    <s v="3冠"/>
    <s v="4.7; 4.8; 4.7"/>
    <n v="70623"/>
    <s v="淘宝"/>
    <n v="0.97350000000000003"/>
    <s v="女装/女士精品 "/>
    <s v=" 连衣裙"/>
    <m/>
    <d v="2015-08-26T00:00:00"/>
    <d v="1899-12-30T21:56:42"/>
    <s v="3天3时46分56秒"/>
    <s v="三"/>
    <s v="http://item.taobao.com/item.htm?id=520465734190"/>
    <s v="http://item.kandianbao.com/520465734190/"/>
    <s v="假两件"/>
    <s v="51%(含)-70%(含)"/>
    <m/>
    <s v="圆领"/>
    <s v="拉链"/>
    <s v="图片色"/>
    <s v="韩版"/>
    <s v="XS，S，M，L，XL"/>
    <s v="圆点"/>
    <x v="2"/>
    <s v="其他/other"/>
    <m/>
    <s v="欧根纱"/>
    <s v="蝴蝶结，系带，拼接，拉链，印花"/>
    <s v="FM150610"/>
    <s v="公主裙"/>
    <s v="2015年夏季"/>
    <m/>
    <s v="常规"/>
    <m/>
    <s v="通勤"/>
    <m/>
    <s v="高腰"/>
    <s v="其他"/>
    <m/>
    <m/>
    <s v="无袖"/>
    <s v="宝贝很赞(18) ; 式样好(12) ; 服务好(12) ; 尺码很好(8) ; 款式好看(8) ; 实惠(7) ; "/>
  </r>
  <r>
    <n v="54"/>
    <s v="第 2 页 第 6 位"/>
    <s v="欧洲站2015套装女夏女装小熊印花T背带长裙两件套连衣裙背带套装"/>
    <m/>
    <n v="84"/>
    <n v="0.39290000000000003"/>
    <n v="33"/>
    <n v="33"/>
    <n v="16545"/>
    <s v="包邮"/>
    <n v="6122"/>
    <n v="7.1999999999999998E-3"/>
    <n v="6967"/>
    <n v="6.1000000000000004E-3"/>
    <n v="229911"/>
    <n v="4.1999999999999997E-3"/>
    <n v="49316"/>
    <n v="324009"/>
    <n v="0.1522"/>
    <n v="24"/>
    <n v="12465"/>
    <m/>
    <m/>
    <m/>
    <s v="8天退货，退货邮费买家承担|蚂蚁花呗|信用卡支付|集分宝|如实描述"/>
    <x v="0"/>
    <s v="日韩女装专铺"/>
    <d v="2012-09-08T20:44:11"/>
    <s v="3冠"/>
    <s v="4.7; 4.7; 4.6"/>
    <n v="9519"/>
    <s v="淘宝"/>
    <n v="0.97440000000000004"/>
    <s v="女装/女士精品 "/>
    <s v=" 连衣裙"/>
    <m/>
    <d v="2015-08-29T00:00:00"/>
    <d v="1899-12-30T21:01:15"/>
    <s v="6天2时51分29秒"/>
    <s v="六"/>
    <s v="http://item.taobao.com/item.htm?id=45617110699"/>
    <s v="http://item.kandianbao.com/45617110699/"/>
    <s v="两件套"/>
    <s v="81%(含)-90%(含)"/>
    <m/>
    <s v="圆领"/>
    <s v="套头"/>
    <s v="单件T恤，背心裙，两件套，注明：涨价在即"/>
    <s v="韩版"/>
    <s v="即将：涨价69元，S，M，L，XL，2XL"/>
    <s v="卡通动漫"/>
    <x v="3"/>
    <s v="背带"/>
    <m/>
    <s v="其他"/>
    <s v="系带，背带"/>
    <m/>
    <s v="一步裙"/>
    <s v="2015年夏季"/>
    <m/>
    <s v="常规"/>
    <m/>
    <s v="通勤"/>
    <m/>
    <s v="中腰"/>
    <s v="其他"/>
    <m/>
    <m/>
    <s v="短袖"/>
    <s v="衣服不错(2136) ; 穿着效果好(1865) ; 版型好看(1518) ; 衣服很舒服(1339) ; 衣服很合身(801) ; 质量不行(143) ; "/>
  </r>
  <r>
    <n v="55"/>
    <s v="第 2 页 第 7 位"/>
    <s v="卡洛莱韩版修身露肩收腰A字裙2015夏季新款女装时尚雪纺连衣裙女"/>
    <s v="KXXM572JW0"/>
    <n v="298"/>
    <n v="0.42949999999999999"/>
    <n v="128"/>
    <n v="128"/>
    <n v="15609"/>
    <s v="包邮"/>
    <n v="6067"/>
    <n v="7.1000000000000004E-3"/>
    <n v="9502"/>
    <n v="8.3999999999999995E-3"/>
    <n v="1216256"/>
    <n v="2.1999999999999999E-2"/>
    <n v="89778"/>
    <s v="-"/>
    <s v="-"/>
    <n v="19"/>
    <n v="8612"/>
    <m/>
    <m/>
    <m/>
    <m/>
    <x v="0"/>
    <s v="卡洛莱旗舰店"/>
    <d v="2012-11-08T17:12:11"/>
    <s v="5冠"/>
    <s v="4.8; 4.8; 4.8"/>
    <n v="253048"/>
    <s v="天猫"/>
    <n v="1"/>
    <s v="女装/女士精品 "/>
    <s v=" 连衣裙"/>
    <m/>
    <d v="2015-08-28T00:00:00"/>
    <d v="1899-12-30T00:24:17"/>
    <s v="4天6时14分31秒"/>
    <s v="五"/>
    <s v="http://item.taobao.com/item.htm?id=45785571808"/>
    <s v="http://item.kandianbao.com/45785571808/"/>
    <s v="单件"/>
    <s v="95%以上"/>
    <s v="A型"/>
    <s v="圆领"/>
    <s v="套头"/>
    <s v="绿色现货，白色现货，红色现货，粉色现货，橘色，水蓝色，玫红色现货"/>
    <s v="韩版"/>
    <s v="160/M，165/L，170/XL，175/XXL，155/S"/>
    <s v="纯色"/>
    <x v="1"/>
    <s v="其他/other"/>
    <s v="纯电商(只在线上销售)"/>
    <s v="其他"/>
    <s v="抽褶，褶皱，拼接，拉链"/>
    <s v="KXXM572JW0"/>
    <s v="A字裙"/>
    <s v="2015年夏季"/>
    <s v="聚酯纤维100%"/>
    <s v="常规"/>
    <s v="卡洛莱"/>
    <s v="通勤"/>
    <m/>
    <s v="中腰"/>
    <s v="涤纶"/>
    <m/>
    <s v="25-29周岁"/>
    <s v="短袖"/>
    <s v="宝贝很赞(2188) ; 外形好看(1411) ; 款式好看(1203) ; 穿上好看(1160) ; 衣衣很舒服(976) ; 质量一般(145) ; "/>
  </r>
  <r>
    <n v="56"/>
    <s v="第 2 页 第 8 位"/>
    <s v="夏装新款2015韩版蕾丝欧根纱拼接网纱蓬蓬裙无袖a字裙公主连衣裙"/>
    <n v="8777"/>
    <n v="124"/>
    <n v="0.19350000000000001"/>
    <n v="24"/>
    <n v="24"/>
    <n v="28595"/>
    <s v="包邮"/>
    <n v="5970"/>
    <n v="7.0000000000000001E-3"/>
    <n v="6443"/>
    <n v="5.7000000000000002E-3"/>
    <n v="154632"/>
    <n v="2.8E-3"/>
    <n v="26010"/>
    <n v="29107"/>
    <n v="0.89359999999999995"/>
    <n v="3"/>
    <n v="2936"/>
    <m/>
    <m/>
    <m/>
    <s v="卖家承诺24小时内发货|7天无理由|集分宝|支付宝支付|如实描述"/>
    <x v="0"/>
    <s v="天将降莲花"/>
    <d v="2013-11-08T14:32:54"/>
    <s v="5钻"/>
    <s v="4.6; 4.7; 4.6"/>
    <n v="1550"/>
    <s v="淘宝"/>
    <n v="0.98009999999999997"/>
    <s v="女装/女士精品 "/>
    <s v=" 连衣裙"/>
    <m/>
    <d v="2015-08-29T00:00:00"/>
    <d v="1899-12-30T21:50:00"/>
    <s v="6天3时40分14秒"/>
    <s v="六"/>
    <s v="http://item.taobao.com/item.htm?id=520323420745"/>
    <s v="http://item.kandianbao.com/520323420745/"/>
    <s v="单件"/>
    <s v="51%(含)-70%(含)"/>
    <s v="A型"/>
    <s v="圆领"/>
    <s v="套头"/>
    <s v="普通面料易起球，白色"/>
    <s v="韩版"/>
    <s v="收藏宝贝送小礼品，S，M，L，XL"/>
    <s v="纯色"/>
    <x v="2"/>
    <s v="其他/other"/>
    <m/>
    <s v="蕾丝"/>
    <s v="勾花镂空，拼接，纱网"/>
    <n v="8777"/>
    <s v="公主裙"/>
    <s v="2015年夏季"/>
    <m/>
    <s v="公主袖"/>
    <s v="莲花家"/>
    <s v="通勤"/>
    <m/>
    <s v="高腰"/>
    <m/>
    <m/>
    <s v="18-24周岁"/>
    <s v="无袖"/>
    <s v="版式好(249) ; 衣服不错(199) ; 穿着美(89) ; 很舒服(82) ; 款式好(48) ; 人群(35) ; "/>
  </r>
  <r>
    <n v="57"/>
    <s v="第 2 页 第 9 位"/>
    <s v="2015韩版新款夏季无袖印花宽松亚麻中长款胖mm大码棉麻连衣裙 女"/>
    <m/>
    <n v="93"/>
    <n v="0.2581"/>
    <n v="24"/>
    <n v="24"/>
    <n v="74772"/>
    <s v="包邮"/>
    <n v="5969"/>
    <n v="7.0000000000000001E-3"/>
    <n v="6896"/>
    <n v="6.1000000000000004E-3"/>
    <n v="165504"/>
    <n v="3.0000000000000001E-3"/>
    <n v="42508"/>
    <n v="108832"/>
    <n v="0.3906"/>
    <n v="6"/>
    <n v="6466"/>
    <m/>
    <m/>
    <m/>
    <s v="7天无理由|蚂蚁花呗|信用卡支付|集分宝|如实描述"/>
    <x v="4"/>
    <s v="zenglingxin5xx"/>
    <d v="2013-11-27T23:35:26"/>
    <s v="3冠"/>
    <s v="4.6; 4.6; 4.4"/>
    <n v="9200"/>
    <s v="淘宝"/>
    <n v="0.94899999999999995"/>
    <s v="女装/女士精品 "/>
    <s v=" 连衣裙"/>
    <m/>
    <d v="2015-08-28T00:00:00"/>
    <d v="1899-12-30T20:00:00"/>
    <s v="5天1时50分14秒"/>
    <s v="五"/>
    <s v="http://item.taobao.com/item.htm?id=45783442240"/>
    <s v="http://item.kandianbao.com/45783442240/"/>
    <s v="单件"/>
    <s v="81%(含)-90%(含)"/>
    <m/>
    <s v="圆领"/>
    <s v="一粒扣"/>
    <s v="蓝色【优质棉麻】，白色【优质棉麻】，蓝色【普通面料】，白色【普通面料】"/>
    <s v="淑女"/>
    <s v="S【85-98斤】，M【98-108斤】，L【108-120斤】，XL【120-130斤】，2XL【130-140斤】，3XL【140-150斤】"/>
    <s v="碎花"/>
    <x v="1"/>
    <s v="吊带"/>
    <m/>
    <s v="织锦"/>
    <s v="印花"/>
    <m/>
    <s v="A字裙"/>
    <s v="2015年夏季"/>
    <m/>
    <s v="其他"/>
    <s v="无"/>
    <s v="通勤"/>
    <m/>
    <s v="宽松腰"/>
    <s v="棉"/>
    <m/>
    <s v="18-24周岁"/>
    <s v="短袖"/>
    <s v="宝贝很赞(806) ; 衣衣很舒服(746) ; 外形好看(497) ; 穿上好看(337) ; 料子好(308) ; 码数不合(100) ; "/>
  </r>
  <r>
    <n v="58"/>
    <s v="第 2 页 第 10 位"/>
    <s v="2015夏季新款韩版v领气质大码连衣裙雪纺拼接流苏复古中长裙女装"/>
    <m/>
    <n v="299"/>
    <n v="0.41539999999999999"/>
    <n v="124.2"/>
    <n v="124.2"/>
    <n v="543"/>
    <s v="包邮"/>
    <n v="5899"/>
    <n v="6.8999999999999999E-3"/>
    <n v="7338"/>
    <n v="6.4999999999999997E-3"/>
    <n v="911379.6"/>
    <n v="1.6500000000000001E-2"/>
    <n v="24972"/>
    <n v="98479"/>
    <n v="0.25359999999999999"/>
    <n v="4"/>
    <n v="950"/>
    <m/>
    <m/>
    <m/>
    <s v="卖家承诺7天内发货|7天无理由|蚂蚁花呗|信用卡支付|集分宝|如实描述"/>
    <x v="7"/>
    <s v="jzjz0307"/>
    <d v="2012-10-24T18:35:38"/>
    <s v="3冠"/>
    <s v="4.7; 4.8; 4.7"/>
    <n v="54256"/>
    <s v="淘宝"/>
    <n v="0.98599999999999999"/>
    <s v="女装/女士精品 "/>
    <s v=" 连衣裙"/>
    <m/>
    <d v="2015-08-28T00:00:00"/>
    <d v="1899-12-30T16:58:32"/>
    <s v="4天22时48分46秒"/>
    <s v="五"/>
    <s v="http://item.taobao.com/item.htm?id=520368699812"/>
    <s v="http://item.kandianbao.com/520368699812/"/>
    <s v="单件"/>
    <m/>
    <s v="H型"/>
    <s v="V领"/>
    <s v="套头"/>
    <s v="黑色"/>
    <s v="复古"/>
    <s v="S，M，L，XL，2XL"/>
    <m/>
    <x v="0"/>
    <m/>
    <m/>
    <s v="雪纺"/>
    <s v="流苏，拼接，扎花"/>
    <m/>
    <s v="不规则裙"/>
    <s v="2015年夏季"/>
    <m/>
    <s v="常规"/>
    <m/>
    <s v="通勤"/>
    <m/>
    <s v="宽松腰"/>
    <m/>
    <m/>
    <m/>
    <s v="短袖"/>
    <s v="质量好(59) ; 衣衣很舒服(48) ; 穿上好看(37) ; 式样好(32) ; 款式蛮好(26) ; 料子好(19) ; "/>
  </r>
  <r>
    <n v="59"/>
    <s v="第 2 页 第 11 位"/>
    <s v="2015夏装新款气质修身显瘦条纹波点碎花无袖连衣裙背心背带裙 潮"/>
    <n v="1403"/>
    <n v="100"/>
    <n v="0.21"/>
    <n v="21"/>
    <n v="21"/>
    <n v="102628"/>
    <s v="包邮"/>
    <n v="5883"/>
    <n v="6.8999999999999999E-3"/>
    <n v="7514"/>
    <n v="6.6E-3"/>
    <n v="157794"/>
    <n v="2.8999999999999998E-3"/>
    <n v="33448"/>
    <n v="78057"/>
    <n v="0.42849999999999999"/>
    <n v="17"/>
    <n v="5279"/>
    <m/>
    <m/>
    <m/>
    <s v="卖家承诺72小时内发货|7天无理由|蚂蚁花呗|信用卡支付|集分宝|如实描述"/>
    <x v="4"/>
    <s v="优品女装团购网"/>
    <d v="2013-10-19T01:00:30"/>
    <s v="3冠"/>
    <s v="4.7; 4.7; 4.6"/>
    <n v="5620"/>
    <s v="淘宝"/>
    <n v="0.98570000000000002"/>
    <s v="女装/女士精品 "/>
    <s v=" 连衣裙"/>
    <m/>
    <d v="2015-08-28T00:00:00"/>
    <d v="1899-12-30T21:31:34"/>
    <s v="5天3时21分48秒"/>
    <s v="五"/>
    <s v="http://item.taobao.com/item.htm?id=45847604765"/>
    <s v="http://item.kandianbao.com/45847604765/"/>
    <s v="单件"/>
    <s v="81%(含)-90%(含)"/>
    <s v="A型"/>
    <s v="圆领"/>
    <s v="套头"/>
    <s v="白色羽毛，条纹，皇冠，字母，五角星，嘴唇，大格子，新推图案限时优惠，新出竖条纹图案！，竖条纹"/>
    <s v="韩版"/>
    <s v="收藏分享送礼品！，M（建议100以下），L（建议100-110），XL（110-120）"/>
    <s v="其他"/>
    <x v="2"/>
    <s v="其他/other"/>
    <m/>
    <s v="其他"/>
    <s v="波浪"/>
    <n v="1403"/>
    <s v="其他"/>
    <s v="2015年夏季"/>
    <m/>
    <s v="常规"/>
    <s v="优品女装团购网"/>
    <s v="通勤"/>
    <m/>
    <s v="中腰"/>
    <s v="其他"/>
    <m/>
    <s v="18-24周岁"/>
    <s v="无袖"/>
    <s v="质量蛮好(690) ; 外形好看(660) ; 穿着美(618) ; 很舒服(399) ; 码数很准(261) ; 不合身(50) ; "/>
  </r>
  <r>
    <n v="60"/>
    <s v="第 2 页 第 12 位"/>
    <s v="2015新款女夏装韩版直筒裙休闲大码女装宽松显瘦条纹印花连衣裙"/>
    <s v="828#"/>
    <n v="198"/>
    <n v="0.13589999999999999"/>
    <n v="26.9"/>
    <n v="26.9"/>
    <n v="21351"/>
    <s v="包邮"/>
    <n v="5773"/>
    <n v="6.7000000000000002E-3"/>
    <n v="6902"/>
    <n v="6.1000000000000004E-3"/>
    <n v="185663.8"/>
    <n v="3.3999999999999998E-3"/>
    <n v="3386"/>
    <n v="24146"/>
    <n v="0.14019999999999999"/>
    <n v="3"/>
    <n v="1654"/>
    <m/>
    <m/>
    <m/>
    <s v="卖家承诺72小时内发货|8天退货，退货邮费买家承担|集分宝|支付宝支付|如实描述"/>
    <x v="4"/>
    <s v="冷雨纷飞98"/>
    <d v="2014-06-25T13:33:52"/>
    <s v="2冠"/>
    <s v="4.6; 4.7; 4.6"/>
    <n v="1181"/>
    <s v="淘宝"/>
    <n v="0.98109999999999997"/>
    <s v="女装/女士精品 "/>
    <s v=" 连衣裙"/>
    <m/>
    <d v="2015-08-27T00:00:00"/>
    <d v="1899-12-30T11:34:05"/>
    <s v="3天17时24分19秒"/>
    <s v="四"/>
    <s v="http://item.taobao.com/item.htm?id=520831632968"/>
    <s v="http://item.kandianbao.com/520831632968/"/>
    <s v="单件"/>
    <s v="95%以上"/>
    <m/>
    <s v="V领"/>
    <s v="套头"/>
    <s v="卡其条纹，黄色条纹，马上涨价59，只发圆通快递包邮"/>
    <s v="韩版"/>
    <s v="今天拍送腰带，S，M，L，XL，2XL"/>
    <m/>
    <x v="0"/>
    <s v="其他/other"/>
    <m/>
    <s v="其他"/>
    <s v="印花"/>
    <s v="828#"/>
    <m/>
    <s v="2015年夏季"/>
    <m/>
    <s v="连袖"/>
    <m/>
    <s v="通勤"/>
    <m/>
    <s v="宽松腰"/>
    <s v="麻"/>
    <m/>
    <s v="25-29周岁"/>
    <s v="短袖"/>
    <s v="质量好(26) ; 衣衣很舒服(23) ; 划算(22) ; 式样好(16) ; 穿上好看(14) ; 和描述一致(10) ; "/>
  </r>
  <r>
    <n v="61"/>
    <s v="第 2 页 第 13 位"/>
    <s v="2015夏季新款韩版印花无袖大码蓬蓬裙显瘦短裙小礼服夏天连衣裙子"/>
    <m/>
    <n v="98"/>
    <n v="0.37609999999999999"/>
    <n v="36.86"/>
    <n v="36.86"/>
    <n v="54504"/>
    <s v="包邮"/>
    <n v="5719"/>
    <n v="6.7000000000000002E-3"/>
    <n v="8387"/>
    <n v="7.4000000000000003E-3"/>
    <n v="309144.82"/>
    <n v="5.5999999999999999E-3"/>
    <n v="22562"/>
    <n v="31804"/>
    <n v="0.70940000000000003"/>
    <n v="4"/>
    <n v="3372"/>
    <m/>
    <m/>
    <m/>
    <s v="7天无理由|蚂蚁花呗|信用卡支付|集分宝|如实描述"/>
    <x v="4"/>
    <s v="百衣公主"/>
    <d v="2012-12-27T00:45:05"/>
    <s v="3冠"/>
    <s v="4.7; 4.7; 4.7"/>
    <n v="55638"/>
    <s v="淘宝"/>
    <n v="0.96050000000000002"/>
    <s v="女装/女士精品 "/>
    <s v=" 连衣裙"/>
    <m/>
    <d v="2015-08-26T00:00:00"/>
    <d v="1899-12-30T20:23:06"/>
    <s v="3天2时13分20秒"/>
    <s v="三"/>
    <s v="http://item.taobao.com/item.htm?id=520157530977"/>
    <s v="http://item.kandianbao.com/520157530977/"/>
    <s v="单件"/>
    <s v="91%(含)-95%(含)"/>
    <m/>
    <s v="圆领"/>
    <s v="套头"/>
    <s v="桃花粉色，桃花蓝色，259梦幻王国，黄色小花朵，蓝色小花朵，玫红小花朵，蓝色皇冠，小蝴蝶白色，小蝴蝶蓝色，黑白小丑人，小猫咪蓝色，红色小红花，蓝色小红花，玫瑰大红花，复古人物，复古建筑，冰点钻石，人名币头像，螺纹钻石粉色，螺纹钻石玫红色，螺纹钻石宝蓝色，螺纹钻石黑色，螺纹钻石白色，彩色城堡，乳白色，白色，浅灰色，玫红色，红色，青色，宝蓝色，深蓝色，湖蓝色，蓝色，藏青色，紫色，深卡其布色"/>
    <m/>
    <s v="S，M，L，XL，2XL"/>
    <s v="花色"/>
    <x v="2"/>
    <s v="其他/other"/>
    <m/>
    <s v="织锦"/>
    <s v="螺纹"/>
    <m/>
    <s v="公主裙"/>
    <s v="2015年夏季"/>
    <m/>
    <s v="常规"/>
    <m/>
    <s v="街头"/>
    <m/>
    <s v="中腰"/>
    <s v="棉"/>
    <s v="欧美"/>
    <m/>
    <s v="无袖"/>
    <s v="板型很好(328) ; 整体不错(315) ; 穿着美(153) ; 码子很准(114) ; 很舒服(57) ; 面料好(54) ; "/>
  </r>
  <r>
    <n v="62"/>
    <s v="第 2 页 第 14 位"/>
    <s v="全国包邮夏装新款宽松网纱蕾丝无袖连衣裙女短裙子蓬蓬公主裙白色"/>
    <s v="XX"/>
    <n v="199"/>
    <n v="0.42780000000000001"/>
    <n v="85.14"/>
    <n v="85.14"/>
    <n v="11982"/>
    <s v="包邮"/>
    <n v="5683"/>
    <n v="6.6E-3"/>
    <n v="6341"/>
    <n v="5.5999999999999999E-3"/>
    <n v="539872.74"/>
    <n v="9.7999999999999997E-3"/>
    <n v="52046"/>
    <n v="218369"/>
    <n v="0.23830000000000001"/>
    <n v="13"/>
    <n v="3838"/>
    <m/>
    <s v="1.单笔订单满188元免运费(不包邮地区：内蒙古;黑龙江;甘肃;青海;宁夏;新疆;西藏;台湾;香港;澳门)；亲，快下手吧！"/>
    <m/>
    <s v="卖家承诺72小时内发货|7天无理由|蚂蚁花呗|信用卡支付|集分宝|如实描述"/>
    <x v="0"/>
    <s v="蜜蜜家98"/>
    <d v="2012-09-08T17:27:35"/>
    <s v="5冠"/>
    <s v="4.8; 4.8; 4.7"/>
    <n v="304738"/>
    <s v="淘宝"/>
    <n v="0.99039999999999995"/>
    <s v="女装/女士精品 "/>
    <s v=" 连衣裙"/>
    <m/>
    <d v="2015-08-24T00:00:00"/>
    <d v="1899-12-30T10:00:00"/>
    <d v="1899-12-30T15:50:14"/>
    <s v="一"/>
    <s v="http://item.taobao.com/item.htm?id=520268948186"/>
    <s v="http://item.kandianbao.com/520268948186/"/>
    <s v="单件"/>
    <s v="31%(含)-50%(含)"/>
    <s v="A型"/>
    <s v="圆领"/>
    <s v="套头"/>
    <s v="白色"/>
    <s v="韩版"/>
    <s v="S【正版】，M【正版】，L【正版】"/>
    <s v="纯色"/>
    <x v="2"/>
    <s v="其他/other"/>
    <m/>
    <s v="蕾丝"/>
    <s v="勾花镂空，拼接，纱网，蕾丝"/>
    <s v="XX"/>
    <s v="公主裙"/>
    <s v="2015年夏季"/>
    <m/>
    <s v="公主袖"/>
    <s v="蜜蜜家98"/>
    <s v="通勤"/>
    <m/>
    <s v="高腰"/>
    <m/>
    <m/>
    <s v="25-29周岁"/>
    <s v="无袖"/>
    <s v="版型好(580) ; 质量好(444) ; 穿着漂亮(181) ; 很舒适(170) ; 尺寸很准(82) ; 穿着效果不好(54) ; "/>
  </r>
  <r>
    <n v="63"/>
    <s v="第 2 页 第 15 位"/>
    <s v="夏季新款2015夏装女装新款韩版中长款修身显瘦雪纺印花连衣裙子潮"/>
    <m/>
    <n v="316"/>
    <n v="0.495"/>
    <n v="156.41999999999999"/>
    <n v="156.41999999999999"/>
    <n v="1291"/>
    <s v="包邮"/>
    <n v="5671"/>
    <n v="6.6E-3"/>
    <n v="6281"/>
    <n v="5.4999999999999997E-3"/>
    <n v="982474.02"/>
    <n v="1.78E-2"/>
    <n v="45936"/>
    <n v="244396"/>
    <n v="0.188"/>
    <n v="9"/>
    <n v="1052"/>
    <m/>
    <m/>
    <m/>
    <s v="卖家承诺5天内发货|7天无理由|蚂蚁花呗|信用卡支付|集分宝|如实描述"/>
    <x v="0"/>
    <s v="时尚米娜服装"/>
    <d v="2013-02-27T16:20:46"/>
    <s v="3冠"/>
    <s v="4.6; 4.7; 4.7"/>
    <n v="100922"/>
    <s v="淘宝"/>
    <n v="0.98070000000000002"/>
    <s v="女装/女士精品 "/>
    <s v=" 连衣裙"/>
    <m/>
    <d v="2015-08-30T00:00:00"/>
    <d v="1899-12-30T11:59:18"/>
    <s v="6天17时49分32秒"/>
    <s v="日"/>
    <s v="http://item.taobao.com/item.htm?id=520472986278"/>
    <s v="http://item.kandianbao.com/520472986278/"/>
    <s v="单件"/>
    <s v="51%(含)-70%(含)"/>
    <s v="H型"/>
    <s v="圆领"/>
    <s v="单排扣"/>
    <s v="图片色"/>
    <s v="韩版"/>
    <s v="S，M，L，XL，2XL"/>
    <s v="人物"/>
    <x v="0"/>
    <m/>
    <m/>
    <s v="雪纺"/>
    <s v="镶钻，口袋，系带，纽扣，3D，印花"/>
    <m/>
    <s v="其他"/>
    <s v="2015年夏季"/>
    <m/>
    <s v="常规"/>
    <m/>
    <s v="通勤"/>
    <m/>
    <s v="中腰"/>
    <m/>
    <m/>
    <m/>
    <s v="短袖"/>
    <s v="质量不错(74) ; 款式很好(52) ; 穿着漂亮(41) ; 板型很好(41) ; 码子很准(37) ; 很舒适(33) ; "/>
  </r>
  <r>
    <n v="64"/>
    <s v="第 2 页 第 16 位"/>
    <s v="2015夏季新款韩版女装性感无袖背心裙修身短裙吊带沙滩碎花连衣裙"/>
    <n v="8607"/>
    <n v="298"/>
    <n v="0.107"/>
    <n v="31.9"/>
    <n v="31.9"/>
    <n v="28317"/>
    <s v="包邮"/>
    <n v="5612"/>
    <n v="6.6E-3"/>
    <n v="7214"/>
    <n v="6.4000000000000003E-3"/>
    <n v="230126.6"/>
    <n v="4.1999999999999997E-3"/>
    <n v="94804"/>
    <s v="-"/>
    <s v="-"/>
    <n v="82"/>
    <n v="20577"/>
    <m/>
    <s v="满148元，省5元|满248元，省10元|满348元，省20元"/>
    <m/>
    <m/>
    <x v="4"/>
    <s v="芊姿铭旗舰店"/>
    <d v="2014-09-05T16:59:03"/>
    <s v="3冠"/>
    <s v="4.6; 4.7; 4.8"/>
    <n v="9395"/>
    <s v="天猫"/>
    <n v="1"/>
    <s v="女装/女士精品 "/>
    <s v=" 连衣裙"/>
    <m/>
    <d v="2015-08-28T00:00:00"/>
    <d v="1899-12-30T14:07:10"/>
    <s v="4天19时57分24秒"/>
    <s v="五"/>
    <s v="http://item.taobao.com/item.htm?id=44142652151"/>
    <s v="http://item.kandianbao.com/44142652151/"/>
    <s v="单件"/>
    <s v="30%及以下"/>
    <m/>
    <s v="V领"/>
    <s v="套头"/>
    <s v="白色，粉色，绿色，蓝色，黄色，黑色"/>
    <s v="韩版"/>
    <s v="XS，S，M，L，XL，XXL"/>
    <s v="碎花"/>
    <x v="2"/>
    <s v="吊带"/>
    <s v="纯电商(只在线上销售)"/>
    <s v="针织"/>
    <s v="荷叶边，露背，印花"/>
    <n v="8607"/>
    <s v="大摆型"/>
    <s v="2015年夏季"/>
    <s v="再生纤维素纤维73.8% 聚对苯二甲酸乙二酯(涤纶)22.7% 聚氨酯弹性纤维(氨纶)3.5%"/>
    <s v="其他"/>
    <s v="芊姿铭"/>
    <s v="通勤"/>
    <m/>
    <s v="高腰"/>
    <s v="涤纶"/>
    <m/>
    <s v="18-24周岁"/>
    <s v="无袖"/>
    <s v="式样好(4467) ; 质量蛮好(4378) ; 穿着效果好(3990) ; 衣服很舒服(1641) ; 尺码很好(1326) ; 颜色不喜欢(772) ; "/>
  </r>
  <r>
    <n v="65"/>
    <s v="第 2 页 第 17 位"/>
    <s v="2015夏季新款韩版女装甜美学院风条纹拼色露肩可爱娃娃款连衣裙潮"/>
    <m/>
    <n v="203"/>
    <n v="0.1166"/>
    <n v="23.66"/>
    <n v="23.66"/>
    <n v="11132"/>
    <s v="包邮"/>
    <n v="5607"/>
    <n v="6.4999999999999997E-3"/>
    <n v="6731"/>
    <n v="5.8999999999999999E-3"/>
    <n v="159255.46"/>
    <n v="2.8999999999999998E-3"/>
    <n v="25206"/>
    <n v="21863"/>
    <n v="1.1529"/>
    <n v="0"/>
    <n v="2260"/>
    <m/>
    <m/>
    <m/>
    <s v="卖家承诺48小时内发货|7天无理由|集分宝|支付宝支付|如实描述"/>
    <x v="4"/>
    <s v="qq395950340"/>
    <d v="2012-10-10T16:26:18"/>
    <s v="2冠"/>
    <s v="4.6; 4.6; 4.4"/>
    <n v="3193"/>
    <s v="淘宝"/>
    <n v="0.96550000000000002"/>
    <s v="女装/女士精品 "/>
    <s v=" 连衣裙"/>
    <m/>
    <d v="2015-08-24T00:00:00"/>
    <d v="1899-12-30T14:40:53"/>
    <d v="1899-12-30T20:31:07"/>
    <s v="一"/>
    <s v="http://item.taobao.com/item.htm?id=520355332942"/>
    <s v="http://item.kandianbao.com/520355332942/"/>
    <s v="其他"/>
    <m/>
    <m/>
    <s v="其他"/>
    <s v="其他"/>
    <s v="白色，黑色"/>
    <s v="复古"/>
    <s v="其它尺码，S，M，L，XL，2XL"/>
    <s v="其他"/>
    <x v="2"/>
    <s v="其他/other"/>
    <m/>
    <s v="其他"/>
    <m/>
    <m/>
    <s v="其他"/>
    <s v="2015年夏季"/>
    <m/>
    <s v="其他"/>
    <s v="无"/>
    <s v="通勤"/>
    <m/>
    <s v="宽松腰"/>
    <s v="其他"/>
    <m/>
    <s v="18-24周岁"/>
    <s v="短袖"/>
    <s v="外形好看(84) ; 很舒适(60) ; 宝贝很赞(60) ; 很划算(45) ; 穿着漂亮(37) ; 码数很准(21) ; "/>
  </r>
  <r>
    <n v="66"/>
    <s v="第 2 页 第 18 位"/>
    <s v="2015棉麻连衣裙夏文艺复古气质显瘦大码休闲亚麻两件套装裙长裙女"/>
    <m/>
    <n v="158"/>
    <n v="0.5"/>
    <n v="79"/>
    <n v="79"/>
    <n v="7970"/>
    <s v="包邮"/>
    <n v="5516"/>
    <n v="6.4000000000000003E-3"/>
    <n v="6027"/>
    <n v="5.3E-3"/>
    <n v="476133"/>
    <n v="8.6E-3"/>
    <n v="10964"/>
    <n v="48315"/>
    <n v="0.22689999999999999"/>
    <n v="3"/>
    <n v="1729"/>
    <m/>
    <m/>
    <m/>
    <s v="7天无理由|信用卡支付|集分宝|支付宝支付|如实描述"/>
    <x v="4"/>
    <s v="伊利儿服饰"/>
    <d v="2013-01-30T14:10:35"/>
    <s v="1冠"/>
    <s v="4.7; 4.7; 4.7"/>
    <n v="2329"/>
    <s v="淘宝"/>
    <n v="0.98509999999999998"/>
    <s v="女装/女士精品 "/>
    <s v=" 连衣裙"/>
    <m/>
    <d v="2015-08-28T00:00:00"/>
    <d v="1899-12-30T16:00:40"/>
    <s v="4天21时50分54秒"/>
    <s v="五"/>
    <s v="http://item.taobao.com/item.htm?id=520564014099"/>
    <s v="http://item.kandianbao.com/520564014099/"/>
    <s v="两件套"/>
    <s v="51%(含)-70%(含)"/>
    <s v="H型"/>
    <s v="圆领"/>
    <s v="套头"/>
    <s v="灰色，粉红色，绿色"/>
    <s v="复古"/>
    <s v="M，L，XL，2XL"/>
    <s v="纯色"/>
    <x v="3"/>
    <s v="其他/other"/>
    <m/>
    <m/>
    <s v="荷叶边，不对称，纽扣"/>
    <m/>
    <s v="大摆型"/>
    <s v="2015年夏季"/>
    <m/>
    <s v="常规"/>
    <m/>
    <s v="通勤"/>
    <m/>
    <s v="宽松腰"/>
    <s v="麻"/>
    <m/>
    <m/>
    <s v="短袖"/>
    <s v="整体不错(37) ; 衣服很舒服(35) ; 穿着效果好(20) ; 很便宜(13) ; 式样好(13) ; 布料好(12) ; "/>
  </r>
  <r>
    <n v="67"/>
    <s v="第 2 页 第 19 位"/>
    <s v="棉麻连衣裙女夏季2015夏装女装新款韩版潮中长款修身显瘦中裙裙子"/>
    <m/>
    <n v="321"/>
    <n v="9.35E-2"/>
    <n v="30"/>
    <n v="30"/>
    <n v="195892"/>
    <s v="包邮"/>
    <n v="5476"/>
    <n v="6.4000000000000003E-3"/>
    <n v="6958"/>
    <n v="6.1000000000000004E-3"/>
    <n v="208740"/>
    <n v="3.8E-3"/>
    <n v="15944"/>
    <n v="107914"/>
    <n v="0.1477"/>
    <n v="9"/>
    <n v="3809"/>
    <m/>
    <m/>
    <m/>
    <s v="卖家承诺48小时内发货|7天无理由|蚂蚁花呗|信用卡支付|集分宝|如实描述"/>
    <x v="4"/>
    <s v="zhouhaizhi88"/>
    <d v="2009-03-23T16:57:59"/>
    <s v="3冠"/>
    <s v="4.6; 4.6; 4.5"/>
    <n v="14282"/>
    <s v="淘宝"/>
    <n v="0.96899999999999997"/>
    <s v="女装/女士精品 "/>
    <s v=" 连衣裙"/>
    <m/>
    <d v="2015-08-27T00:00:00"/>
    <d v="1899-12-30T17:38:05"/>
    <s v="3天23时28分19秒"/>
    <s v="四"/>
    <s v="http://item.taobao.com/item.htm?id=520044602048"/>
    <s v="http://item.kandianbao.com/520044602048/"/>
    <s v="单件"/>
    <s v="91%(含)-95%(含)"/>
    <m/>
    <s v="圆领"/>
    <s v="套头"/>
    <s v="军绿【优质棉麻】，粉色【优质棉麻】，红色【优质棉麻】，桔色【优质棉麻】，绿色 普通面料，粉色 普通面料，红色 普通面料，桔色 普通面料，桔红色，红色，军绿色"/>
    <s v="韩版"/>
    <s v="S，M，L，XL，XXL"/>
    <s v="纯色"/>
    <x v="0"/>
    <s v="其他/other"/>
    <m/>
    <s v="织锦"/>
    <s v="抽褶，褶皱，系带，纽扣"/>
    <m/>
    <s v="A字裙"/>
    <s v="2015年夏季"/>
    <m/>
    <s v="常规"/>
    <m/>
    <s v="通勤"/>
    <m/>
    <s v="中腰"/>
    <s v="麻"/>
    <m/>
    <s v="25-29周岁"/>
    <s v="短袖"/>
    <s v="质量好(385) ; 衣衣很舒服(242) ; 版型好看(232) ; 穿上好看(157) ; 衣服很合身(138) ; 码数不合(40) ; "/>
  </r>
  <r>
    <n v="68"/>
    <s v="第 2 页 第 20 位"/>
    <s v="新款V领中长款修身短袖连衣裙韩版纯色侧开叉打底t恤裙子女春夏装"/>
    <s v="T021"/>
    <n v="99"/>
    <n v="0.18790000000000001"/>
    <n v="18.600000000000001"/>
    <n v="18.600000000000001"/>
    <n v="29603"/>
    <s v="包邮"/>
    <n v="5406"/>
    <n v="6.3E-3"/>
    <n v="7248"/>
    <n v="6.4000000000000003E-3"/>
    <n v="134812.79999999999"/>
    <n v="2.3999999999999998E-3"/>
    <n v="18126"/>
    <s v="-"/>
    <s v="-"/>
    <n v="0"/>
    <n v="2744"/>
    <m/>
    <m/>
    <m/>
    <m/>
    <x v="4"/>
    <s v="韩熹儿阔傲专卖店"/>
    <d v="2014-10-21T10:29:44"/>
    <s v="4冠"/>
    <s v="4.6; 4.6; 4.8"/>
    <n v="36789"/>
    <s v="天猫"/>
    <n v="1"/>
    <s v="女装/女士精品 "/>
    <s v=" 连衣裙"/>
    <m/>
    <d v="2015-08-28T00:00:00"/>
    <d v="1899-12-30T16:10:04"/>
    <s v="4天22时0分18秒"/>
    <s v="五"/>
    <s v="http://item.taobao.com/item.htm?id=520306305470"/>
    <s v="http://item.kandianbao.com/520306305470/"/>
    <s v="单件"/>
    <s v="95%以上"/>
    <s v="A型"/>
    <s v="V领"/>
    <s v="套头"/>
    <s v="8258黑色"/>
    <s v="韩版"/>
    <s v="M，L，XL，XXL"/>
    <s v="纯色"/>
    <x v="1"/>
    <s v="背带"/>
    <s v="纯电商(只在线上销售)"/>
    <s v="针织"/>
    <m/>
    <s v="T021"/>
    <s v="A字裙"/>
    <s v="2015年夏季"/>
    <s v="聚对苯二甲酸乙二酯(涤纶)100%"/>
    <s v="常规"/>
    <s v="韩熹儿"/>
    <s v="通勤"/>
    <m/>
    <s v="中腰"/>
    <s v="涤纶"/>
    <m/>
    <s v="18-24周岁"/>
    <s v="短袖"/>
    <s v="质量好(242) ; 很舒适(225) ; 穿着漂亮(115) ; 板型很好(95) ; 料子不错(80) ; 颜色不喜欢(56) ; "/>
  </r>
  <r>
    <n v="69"/>
    <s v="第 2 页 第 21 位"/>
    <s v="韩国代购2015夏装新款女装修身裙子蓬蓬A字裙中裙红色连衣裙夏季"/>
    <s v="51Q020"/>
    <n v="184"/>
    <n v="0.1467"/>
    <n v="27"/>
    <n v="27"/>
    <n v="12920"/>
    <s v="包邮"/>
    <n v="5393"/>
    <n v="6.3E-3"/>
    <n v="6992"/>
    <n v="6.1999999999999998E-3"/>
    <n v="188784"/>
    <n v="3.3999999999999998E-3"/>
    <n v="13532"/>
    <n v="12305"/>
    <n v="1.0996999999999999"/>
    <n v="3"/>
    <n v="1121"/>
    <m/>
    <m/>
    <m/>
    <s v="卖家承诺24小时内发货|7天无理由|蚂蚁花呗|集分宝|支付宝支付|如实描述"/>
    <x v="4"/>
    <s v="韩韩美贞"/>
    <d v="2015-03-15T12:19:30"/>
    <s v="5钻"/>
    <s v="4.6; 4.6; 4.5"/>
    <n v="2399"/>
    <s v="淘宝"/>
    <n v="0.92510000000000003"/>
    <s v="女装/女士精品 "/>
    <s v=" 连衣裙"/>
    <m/>
    <d v="2015-08-23T00:00:00"/>
    <d v="1899-12-30T21:50:00"/>
    <d v="1899-12-30T03:40:14"/>
    <s v="日"/>
    <s v="http://item.taobao.com/item.htm?id=45826090664"/>
    <s v="http://item.kandianbao.com/45826090664/"/>
    <s v="单件"/>
    <s v="71%(含)-80%(含)"/>
    <m/>
    <s v="圆领"/>
    <s v="套头"/>
    <s v="白色，红色"/>
    <s v="韩版"/>
    <s v="S【优质面料】，M【优质面料】，L【优质面料】，XL【优质面料】，S【普通面料】，M【普通面料】，L【普通面料】，XL【普通面料】"/>
    <s v="纯色"/>
    <x v="0"/>
    <s v="其他/other"/>
    <m/>
    <m/>
    <m/>
    <s v="51Q020"/>
    <s v="A字裙"/>
    <s v="2015年夏季"/>
    <m/>
    <s v="常规"/>
    <m/>
    <s v="通勤"/>
    <m/>
    <s v="高腰"/>
    <m/>
    <m/>
    <m/>
    <s v="短袖"/>
    <s v="质量好(139) ; 外形好看(67) ; 衣衣很舒服(61) ; 穿上好看(59) ; 款式蛮好(58) ; 做工好(56) ; "/>
  </r>
  <r>
    <n v="70"/>
    <s v="第 2 页 第 22 位"/>
    <s v="2015夏装韩版甜美气质修身显瘦勾花镂空A字蕾丝连衣裙包臀裙短裙"/>
    <m/>
    <n v="158"/>
    <n v="0.2273"/>
    <n v="35.909999999999997"/>
    <n v="35.909999999999997"/>
    <n v="301581"/>
    <s v="包邮"/>
    <n v="5353"/>
    <n v="6.3E-3"/>
    <n v="8388"/>
    <n v="7.4000000000000003E-3"/>
    <n v="301213.08"/>
    <n v="5.4999999999999997E-3"/>
    <n v="21504"/>
    <n v="13358"/>
    <n v="1.6097999999999999"/>
    <n v="1"/>
    <n v="1125"/>
    <m/>
    <m/>
    <m/>
    <s v="卖家承诺20小时内发货|8天退货，退货邮费卖家承担|蚂蚁花呗|信用卡支付|集分宝|如实描述"/>
    <x v="4"/>
    <s v="xiaols24"/>
    <d v="2012-11-16T14:58:41"/>
    <s v="2冠"/>
    <s v="4.5; 4.5; 4.4"/>
    <n v="5432"/>
    <s v="淘宝"/>
    <n v="0.9788"/>
    <s v="女装/女士精品 "/>
    <s v=" 连衣裙"/>
    <m/>
    <d v="2015-08-29T00:00:00"/>
    <d v="1899-12-30T23:20:00"/>
    <s v="6天5时10分14秒"/>
    <s v="六"/>
    <s v="http://item.taobao.com/item.htm?id=520599060645"/>
    <s v="http://item.kandianbao.com/520599060645/"/>
    <s v="单件"/>
    <m/>
    <s v="A型"/>
    <s v="圆领"/>
    <s v="套头"/>
    <s v="黑色，粉红色，红色，天蓝色"/>
    <s v="韩版"/>
    <s v="特价仅此一天，S，M，L，XL，2XL，3XL"/>
    <s v="纯色"/>
    <x v="2"/>
    <m/>
    <m/>
    <m/>
    <s v="蝴蝶结，勾花镂空，蕾丝"/>
    <m/>
    <s v="公主裙"/>
    <s v="2015年夏季"/>
    <m/>
    <s v="常规"/>
    <m/>
    <s v="通勤"/>
    <m/>
    <s v="中腰"/>
    <m/>
    <m/>
    <m/>
    <s v="短袖"/>
    <s v="版型好看(23) ; 整体不错(21) ; 穿着美(20) ; 实惠(15) ; 很舒服(14) ; 如实描述(10) ; "/>
  </r>
  <r>
    <n v="71"/>
    <s v="第 2 页 第 23 位"/>
    <s v="2015夏季大码修身中长款短袖T恤连衣裙短裙女装韩版显瘦横条纹潮"/>
    <s v="L0001"/>
    <n v="69"/>
    <n v="0.24490000000000001"/>
    <n v="16.899999999999999"/>
    <n v="16.899999999999999"/>
    <n v="12015"/>
    <s v="包邮"/>
    <n v="5347"/>
    <n v="6.1999999999999998E-3"/>
    <n v="6557"/>
    <n v="5.7999999999999996E-3"/>
    <n v="110813.3"/>
    <n v="2E-3"/>
    <n v="3850"/>
    <s v="-"/>
    <s v="-"/>
    <n v="0"/>
    <n v="3237"/>
    <m/>
    <m/>
    <m/>
    <m/>
    <x v="8"/>
    <s v="沃茨凯旗舰店"/>
    <d v="2014-09-05T15:54:52"/>
    <s v="5钻"/>
    <s v="4.8; 4.8; 4.8"/>
    <n v="748"/>
    <s v="天猫"/>
    <n v="1"/>
    <s v="女装/女士精品 "/>
    <s v=" 连衣裙"/>
    <m/>
    <d v="2015-08-23T00:00:00"/>
    <d v="1899-12-30T23:15:13"/>
    <d v="1899-12-30T05:05:27"/>
    <s v="日"/>
    <s v="http://item.taobao.com/item.htm?id=520887827453"/>
    <s v="http://item.kandianbao.com/520887827453/"/>
    <s v="单件"/>
    <s v="81%(含)-90%(含)"/>
    <s v="A型"/>
    <s v="圆领"/>
    <s v="套头"/>
    <s v="白色，黑色"/>
    <s v="韩版"/>
    <s v="M，L，XL，XXL，XXXL"/>
    <s v="条纹"/>
    <x v="2"/>
    <m/>
    <s v="纯电商(只在线上销售)"/>
    <m/>
    <s v="3D"/>
    <s v="L0001"/>
    <s v="一步裙"/>
    <s v="2015年夏季"/>
    <s v="聚对苯二甲酸乙二酯(涤纶)90% 聚氨酯弹性纤维(氨纶)10%"/>
    <s v="常规"/>
    <s v="wocicai/沃茨凯"/>
    <s v="通勤"/>
    <m/>
    <s v="中腰"/>
    <s v="涤纶"/>
    <m/>
    <s v="18-24周岁"/>
    <s v="短袖"/>
    <s v="很舒服(11) ; 划算(11) ; 快递不错(11) ; 质量蛮好(9) ; 态度不错(7) ; 码子很准(6) ; "/>
  </r>
  <r>
    <n v="72"/>
    <s v="第 2 页 第 24 位"/>
    <s v="欧洲站2015春夏款圆领无袖背心修身A字百褶镂空蓬蓬连衣裙短长裙"/>
    <m/>
    <n v="368"/>
    <n v="0.1235"/>
    <n v="45.44"/>
    <n v="45.44"/>
    <n v="16592"/>
    <s v="包邮"/>
    <n v="5307"/>
    <n v="6.1999999999999998E-3"/>
    <n v="7632"/>
    <n v="6.7000000000000002E-3"/>
    <n v="346798.08000000002"/>
    <n v="6.3E-3"/>
    <n v="17666"/>
    <n v="22597"/>
    <n v="0.78180000000000005"/>
    <n v="1"/>
    <n v="2554"/>
    <m/>
    <m/>
    <m/>
    <s v="7天无理由|蚂蚁花呗|信用卡支付|集分宝|如实描述"/>
    <x v="0"/>
    <s v="潮流前线8838"/>
    <d v="2014-10-18T22:48:32"/>
    <s v="5钻"/>
    <s v="4.8; 4.8; 4.7"/>
    <n v="2013"/>
    <s v="淘宝"/>
    <n v="0.98650000000000004"/>
    <s v="女装/女士精品 "/>
    <s v=" 连衣裙"/>
    <m/>
    <d v="2015-08-25T00:00:00"/>
    <d v="1899-12-30T21:00:00"/>
    <s v="2天2时50分14秒"/>
    <s v="二"/>
    <s v="http://item.taobao.com/item.htm?id=45537007717"/>
    <s v="http://item.kandianbao.com/45537007717/"/>
    <s v="单件"/>
    <s v="91%(含)-95%(含)"/>
    <m/>
    <s v="圆领"/>
    <s v="拉链"/>
    <s v="白色，黑色，红色"/>
    <m/>
    <s v="S【高质面料】，M【高质面料】，L【高质面料】，XL【高质面料】"/>
    <s v="纯色"/>
    <x v="2"/>
    <s v="其他/other"/>
    <m/>
    <s v="其他"/>
    <m/>
    <m/>
    <s v="大摆型"/>
    <s v="2015年夏季"/>
    <m/>
    <s v="其他"/>
    <s v="00后"/>
    <s v="街头"/>
    <m/>
    <s v="高腰"/>
    <s v="其他"/>
    <s v="欧美"/>
    <s v="18-24周岁"/>
    <s v="无袖"/>
    <s v="衣服不错(357) ; 版型漂亮(270) ; 穿着美(194) ; 颜色很好(85) ; 大小合适(75) ; 很舒服(56) ; "/>
  </r>
  <r>
    <n v="73"/>
    <s v="第 2 页 第 25 位"/>
    <s v="15夏季短袖条纹显瘦性感包臀短裙修身中长款针织时尚气质连衣裙女"/>
    <m/>
    <n v="234.9"/>
    <n v="0.126"/>
    <n v="29.6"/>
    <n v="29.6"/>
    <n v="36674"/>
    <s v="包邮"/>
    <n v="5268"/>
    <n v="6.1999999999999998E-3"/>
    <n v="13706"/>
    <n v="1.21E-2"/>
    <n v="405697.6"/>
    <n v="7.3000000000000001E-3"/>
    <n v="46006"/>
    <n v="12477"/>
    <n v="3.6873"/>
    <n v="0"/>
    <n v="282"/>
    <m/>
    <m/>
    <m/>
    <s v="7天无理由|蚂蚁花呗|信用卡支付|集分宝|如实描述"/>
    <x v="4"/>
    <s v="尕琳shop"/>
    <d v="2014-12-05T17:12:41"/>
    <s v="2冠"/>
    <s v="4.6; 4.7; 4.6"/>
    <n v="4851"/>
    <s v="淘宝"/>
    <n v="0.98560000000000003"/>
    <s v="女装/女士精品 "/>
    <s v=" 连衣裙"/>
    <m/>
    <d v="2015-08-29T00:00:00"/>
    <d v="1899-12-30T15:30:00"/>
    <s v="5天21时20分14秒"/>
    <s v="六"/>
    <s v="http://item.taobao.com/item.htm?id=520726643134"/>
    <s v="http://item.kandianbao.com/520726643134/"/>
    <s v="单件"/>
    <s v="51%(含)-70%(含)"/>
    <m/>
    <s v="圆领"/>
    <s v="套头"/>
    <s v="条纹，黑色，粉红色，红色，桔色"/>
    <s v="韩版"/>
    <s v="S，M，L"/>
    <s v="条纹"/>
    <x v="1"/>
    <s v="其他/other"/>
    <m/>
    <s v="针织"/>
    <s v="系带，不对称"/>
    <m/>
    <s v="A字裙"/>
    <s v="2015年夏季"/>
    <m/>
    <s v="蝙蝠袖"/>
    <s v="无"/>
    <s v="通勤"/>
    <m/>
    <s v="松紧腰"/>
    <s v="棉"/>
    <m/>
    <s v="18-24周岁"/>
    <s v="短袖"/>
    <m/>
  </r>
  <r>
    <n v="74"/>
    <s v="第 2 页 第 26 位"/>
    <s v="2015夏季新款女装修身蕾丝拼接雪纺连衣裙显瘦假两件无袖连衣裙女"/>
    <m/>
    <n v="59.88"/>
    <n v="0.39479999999999998"/>
    <n v="23.64"/>
    <n v="23.64"/>
    <n v="39844"/>
    <s v="包邮"/>
    <n v="5237"/>
    <n v="6.1000000000000004E-3"/>
    <n v="5674"/>
    <n v="5.0000000000000001E-3"/>
    <n v="134133.35999999999"/>
    <n v="2.3999999999999998E-3"/>
    <n v="18988"/>
    <n v="52742"/>
    <n v="0.36"/>
    <n v="6"/>
    <n v="2489"/>
    <m/>
    <m/>
    <m/>
    <s v="7天无理由|集分宝|支付宝支付|如实描述"/>
    <x v="4"/>
    <s v="李大嘴潮流坊"/>
    <d v="2014-06-22T16:30:05"/>
    <s v="4冠"/>
    <s v="4.5; 4.6; 4.5"/>
    <n v="7102"/>
    <s v="淘宝"/>
    <n v="0.96989999999999998"/>
    <s v="女装/女士精品 "/>
    <s v=" 连衣裙"/>
    <m/>
    <d v="2015-08-25T00:00:00"/>
    <d v="1899-12-30T21:35:00"/>
    <s v="2天3时25分14秒"/>
    <s v="二"/>
    <s v="http://item.taobao.com/item.htm?id=520373990716"/>
    <s v="http://item.kandianbao.com/520373990716/"/>
    <s v="假两件"/>
    <s v="91%(含)-95%(含)"/>
    <m/>
    <s v="圆领"/>
    <s v="套头"/>
    <s v="白色，黑色"/>
    <m/>
    <s v="S，M，L，XL，XXL"/>
    <s v="纯色"/>
    <x v="0"/>
    <s v="其他/other"/>
    <m/>
    <m/>
    <s v="拼接，蕾丝"/>
    <m/>
    <s v="大摆型"/>
    <s v="2015年夏季"/>
    <m/>
    <m/>
    <m/>
    <s v="甜美"/>
    <s v="学院"/>
    <s v="中腰"/>
    <s v="涤纶"/>
    <m/>
    <m/>
    <s v="无袖"/>
    <s v="版型好看(100) ; 宝贝很赞(99) ; 便宜(77) ; 穿上好看(53) ; 衣服很合身(39) ; 衣衣很舒服(30) ; "/>
  </r>
  <r>
    <n v="75"/>
    <s v="第 2 页 第 27 位"/>
    <s v="2015夏装裙子性感短裙夏季女装中裙蕾丝拼接雪纺中长款短袖连衣裙"/>
    <m/>
    <n v="69"/>
    <n v="0.39129999999999998"/>
    <n v="27"/>
    <n v="27"/>
    <n v="78423"/>
    <s v="包邮"/>
    <n v="5168"/>
    <n v="6.0000000000000001E-3"/>
    <n v="5809"/>
    <n v="5.1000000000000004E-3"/>
    <n v="156843"/>
    <n v="2.8E-3"/>
    <n v="8752"/>
    <n v="23268"/>
    <n v="0.37609999999999999"/>
    <n v="36"/>
    <n v="1226"/>
    <m/>
    <m/>
    <m/>
    <s v="7天无理由|蚂蚁花呗|信用卡支付|集分宝|如实描述"/>
    <x v="0"/>
    <s v="韩恋衣柜"/>
    <d v="2013-08-23T21:20:54"/>
    <s v="2冠"/>
    <s v="4.6; 4.6; 4.5"/>
    <n v="4590"/>
    <s v="淘宝"/>
    <n v="0.9224"/>
    <s v="女装/女士精品 "/>
    <s v=" 连衣裙"/>
    <m/>
    <d v="2015-08-25T00:00:00"/>
    <d v="1899-12-30T16:46:27"/>
    <s v="1天22时36分41秒"/>
    <s v="二"/>
    <s v="http://item.taobao.com/item.htm?id=520373202665"/>
    <s v="http://item.kandianbao.com/520373202665/"/>
    <s v="单件"/>
    <s v="51%(含)-70%(含)"/>
    <m/>
    <s v="圆领"/>
    <s v="拉链"/>
    <s v="【印花连衣裙】"/>
    <s v="韩版"/>
    <s v="S【普通面料25】，M【普通面料25】，L【普通面料25】，XL【普通面料25】，2XL【普通面料25，S【优质布料31】，M【优质布料31】，L【优质布料31】，XL【优质布料31】，2XL【优质布料31"/>
    <s v="纯色"/>
    <x v="0"/>
    <s v="其他/other"/>
    <m/>
    <s v="雪纺"/>
    <s v="荷叶边，拼接，拉链，蕾丝，印花"/>
    <m/>
    <s v="A字裙"/>
    <s v="2015年夏季"/>
    <m/>
    <s v="常规"/>
    <m/>
    <s v="通勤"/>
    <m/>
    <s v="高腰"/>
    <s v="其他"/>
    <m/>
    <s v="25-29周岁"/>
    <s v="短袖"/>
    <s v="质量蛮好(50) ; 很舒服(43) ; 版型好(28) ; 态度不错(25) ; 穿着美(20) ; 尺寸很准(19) ; "/>
  </r>
  <r>
    <n v="76"/>
    <s v="第 2 页 第 28 位"/>
    <s v="欧洲站2015夏装磨破拼皮牛仔背带裙夏显瘦复古牛仔背带裙连衣裙潮"/>
    <m/>
    <n v="399"/>
    <n v="0.1464"/>
    <n v="58.41"/>
    <n v="58.41"/>
    <n v="67124"/>
    <s v="包邮"/>
    <n v="5156"/>
    <n v="6.0000000000000001E-3"/>
    <n v="10355"/>
    <n v="9.1000000000000004E-3"/>
    <n v="604835.55000000005"/>
    <n v="1.09E-2"/>
    <n v="21986"/>
    <n v="18721"/>
    <n v="1.1744000000000001"/>
    <n v="0"/>
    <n v="1090"/>
    <m/>
    <m/>
    <m/>
    <s v="7天无理由|蚂蚁花呗|信用卡支付|集分宝|如实描述"/>
    <x v="9"/>
    <s v="coco小新娘"/>
    <d v="2013-04-13T17:53:49"/>
    <s v="2冠"/>
    <s v="4.7; 4.7; 4.6"/>
    <n v="3887"/>
    <s v="淘宝"/>
    <n v="0.9829"/>
    <s v="女装/女士精品 "/>
    <s v=" 连衣裙"/>
    <m/>
    <d v="2015-08-25T00:00:00"/>
    <d v="1899-12-30T22:37:20"/>
    <s v="2天4时27分34秒"/>
    <s v="二"/>
    <s v="http://item.taobao.com/item.htm?id=520521574957"/>
    <s v="http://item.kandianbao.com/520521574957/"/>
    <s v="单件"/>
    <s v="95%以上"/>
    <m/>
    <m/>
    <m/>
    <n v="820823821"/>
    <s v="复古"/>
    <s v="XS，S，M，L，XL"/>
    <m/>
    <x v="2"/>
    <s v="其他/other"/>
    <m/>
    <s v="牛仔布"/>
    <s v="手工磨破"/>
    <m/>
    <s v="其他"/>
    <s v="2015年夏季"/>
    <m/>
    <m/>
    <m/>
    <s v="通勤"/>
    <m/>
    <s v="中腰"/>
    <s v="棉"/>
    <m/>
    <m/>
    <s v="无袖"/>
    <s v="衣服不错(16) ; 很划算(10) ; 版型好看(8) ; 快递不错(8) ; 态度不错(6) ; 很舒服(5) ; "/>
  </r>
  <r>
    <n v="77"/>
    <s v="第 2 页 第 29 位"/>
    <s v="2015夏装新款大码女装森女文艺小清新樱桃印花棉麻短袖宽松连衣裙"/>
    <n v="1"/>
    <n v="128"/>
    <n v="0.34449999999999997"/>
    <n v="44.1"/>
    <n v="44.1"/>
    <n v="17097"/>
    <s v="包邮"/>
    <n v="5113"/>
    <n v="6.0000000000000001E-3"/>
    <n v="5813"/>
    <n v="5.1000000000000004E-3"/>
    <n v="256353.3"/>
    <n v="4.5999999999999999E-3"/>
    <n v="25624"/>
    <n v="89523"/>
    <n v="0.28620000000000001"/>
    <n v="8"/>
    <n v="4018"/>
    <m/>
    <m/>
    <m/>
    <s v="8天退货，退货邮费买家承担|蚂蚁花呗|集分宝|支付宝支付|如实描述"/>
    <x v="4"/>
    <s v="试居谪诹7422"/>
    <d v="2015-03-02T13:47:12"/>
    <s v="1冠"/>
    <s v="4.8; 4.8; 4.8"/>
    <n v="8779"/>
    <s v="淘宝"/>
    <n v="0.9899"/>
    <s v="女装/女士精品 "/>
    <s v=" 连衣裙"/>
    <m/>
    <d v="2015-08-26T00:00:00"/>
    <d v="1899-12-30T21:40:00"/>
    <s v="3天3时30分14秒"/>
    <s v="三"/>
    <s v="http://item.taobao.com/item.htm?id=520153511262"/>
    <s v="http://item.kandianbao.com/520153511262/"/>
    <s v="单件"/>
    <s v="51%(含)-70%(含)"/>
    <m/>
    <s v="娃娃领"/>
    <s v="三粒扣"/>
    <s v="白色，藏青色"/>
    <m/>
    <s v="S，M，L，XL，XXL"/>
    <s v="花色"/>
    <x v="1"/>
    <m/>
    <m/>
    <m/>
    <s v="蝴蝶结，抽褶，纽扣，印花"/>
    <n v="1"/>
    <s v="大摆型"/>
    <s v="2015年夏季"/>
    <m/>
    <s v="飞飞袖"/>
    <s v="木易家"/>
    <s v="甜美"/>
    <s v="森女"/>
    <s v="宽松腰"/>
    <s v="棉"/>
    <m/>
    <s v="18-24周岁"/>
    <s v="短袖"/>
    <s v="很舒适(462) ; 质量不错(438) ; 板型很好(402) ; 料子不错(278) ; 穿着漂亮(241) ; 衣服很薄(64) ; "/>
  </r>
  <r>
    <n v="78"/>
    <s v="第 2 页 第 30 位"/>
    <s v="2015夏季新款韩版修身显瘦休闲无袖连衣裙女装两件套背带裙套装裙"/>
    <s v="GNDL0189"/>
    <n v="108"/>
    <n v="0.2361"/>
    <n v="25.5"/>
    <n v="25.5"/>
    <n v="52142"/>
    <s v="包邮"/>
    <n v="5081"/>
    <n v="5.8999999999999999E-3"/>
    <n v="6232"/>
    <n v="5.4999999999999997E-3"/>
    <n v="158916"/>
    <n v="2.8999999999999998E-3"/>
    <n v="12878"/>
    <s v="-"/>
    <s v="-"/>
    <n v="1"/>
    <n v="3836"/>
    <m/>
    <m/>
    <m/>
    <m/>
    <x v="0"/>
    <s v="古妮迪莎伦维专卖店"/>
    <d v="2014-05-09T17:00:16"/>
    <s v="4冠"/>
    <s v="4.6; 4.6; 4.7"/>
    <n v="38609"/>
    <s v="天猫"/>
    <n v="1"/>
    <s v="女装/女士精品 "/>
    <s v=" 连衣裙"/>
    <m/>
    <d v="2015-08-30T00:00:00"/>
    <d v="1899-12-30T13:08:47"/>
    <s v="6天18时59分1秒"/>
    <s v="日"/>
    <s v="http://item.taobao.com/item.htm?id=45903964105"/>
    <s v="http://item.kandianbao.com/45903964105/"/>
    <s v="两件套"/>
    <s v="51%(含)-70%(含)"/>
    <m/>
    <s v="V领"/>
    <s v="套头"/>
    <s v="2304裙子+2292白色T恤"/>
    <s v="韩版"/>
    <s v="M，L，XL，XXL"/>
    <s v="纯色"/>
    <x v="1"/>
    <s v="背带"/>
    <s v="纯电商(只在线上销售)"/>
    <s v="其他"/>
    <s v="蝴蝶结，荷叶边，铆钉，植绒，流苏，破洞，镂空，抽褶，肩章，亮丝，镶钻，露背，油漆喷溅，手工磨破，贴布，绣花，链条，褶皱，木耳，勾花镂空，口袋，系带，拼接，螺纹，扎花，立体装饰，不对称，绑带，扎染，钉珠，波浪，做旧，亮片，背带，纽扣，纱网，拉链，乱针修补，锈斑处理，树脂固色，蕾丝，燕尾，3D，印花"/>
    <s v="GNDL0189"/>
    <s v="铅笔裙"/>
    <s v="2015年夏季"/>
    <s v="新型聚酯纤维65% 其他35%"/>
    <s v="其他"/>
    <s v="古妮迪"/>
    <s v="通勤"/>
    <m/>
    <s v="高腰"/>
    <s v="其他"/>
    <m/>
    <s v="18-24周岁"/>
    <s v="无袖"/>
    <s v="衣服不错(768) ; 很舒服(591) ; 版型好看(315) ; 穿着美(304) ; 款式好(291) ; 质量不行(67) ; "/>
  </r>
  <r>
    <n v="79"/>
    <s v="第 2 页 第 31 位"/>
    <s v="包邮2015春夏新款妈妈装 中老年女装冰丝连衣裙 中年大码碎花裙子"/>
    <s v="方块连衣裙"/>
    <n v="68"/>
    <n v="0.2737"/>
    <n v="18.61"/>
    <n v="18.61"/>
    <n v="99700"/>
    <s v="包邮"/>
    <n v="5056"/>
    <n v="5.8999999999999999E-3"/>
    <n v="9514"/>
    <n v="8.3999999999999995E-3"/>
    <n v="177055.54"/>
    <n v="3.2000000000000002E-3"/>
    <n v="30774"/>
    <n v="1428767"/>
    <n v="2.1499999999999998E-2"/>
    <n v="552"/>
    <n v="9531"/>
    <m/>
    <m/>
    <m/>
    <s v="7天无理由|蚂蚁花呗|信用卡支付|集分宝|如实描述"/>
    <x v="5"/>
    <s v="控心丶sorrow"/>
    <d v="2013-04-17T14:34:27"/>
    <s v="4冠"/>
    <s v="4.8; 4.8; 4.7"/>
    <n v="4988"/>
    <s v="淘宝"/>
    <n v="0.98380000000000001"/>
    <s v="女装/女士精品 "/>
    <s v=" 连衣裙"/>
    <m/>
    <d v="2015-08-28T00:00:00"/>
    <d v="1899-12-30T14:40:45"/>
    <s v="4天20时30分59秒"/>
    <s v="五"/>
    <s v="http://item.taobao.com/item.htm?id=20272763953"/>
    <s v="http://item.kandianbao.com/20272763953/"/>
    <s v="单件"/>
    <s v="91%(含)-95%(含)"/>
    <m/>
    <s v="V领"/>
    <m/>
    <s v="12号色，白玫瑰，15号色，新2号色，16号色，水波纹，3号色，水仙花，8号色，11号色，9号色，7号色，20号色，19号色，10号色，26号色，25号色，23号色，27号色，22号色，1号色，21号色，17号色，18号色，乳白色，米白色，浅灰色，黑色，姜黄色"/>
    <m/>
    <s v="质量保证，七天无理由退换，L （85-95斤），XL（95-110斤），2XL（110-120斤），3XL（120-135斤），4XL（135-150斤），【默认申通汇通快递】，全网第一，价格最低"/>
    <s v="碎花"/>
    <x v="1"/>
    <s v="其他/other"/>
    <m/>
    <s v="其他"/>
    <s v="印花"/>
    <s v="方块连衣裙"/>
    <s v="大摆型"/>
    <s v="2015年夏季"/>
    <m/>
    <s v="泡泡袖"/>
    <m/>
    <s v="通勤"/>
    <m/>
    <m/>
    <m/>
    <m/>
    <m/>
    <s v="短袖"/>
    <s v="衣服不错(1125) ; 人群(827) ; 很舒服(706) ; 版型好(600) ; 穿着美(369) ; 不合身(183) ; "/>
  </r>
  <r>
    <n v="80"/>
    <s v="第 2 页 第 32 位"/>
    <s v="2015春夏新款韩版长裙连衣裙欧美莫代尔背心裙波西米亚长款连体裙"/>
    <m/>
    <n v="38"/>
    <n v="0.5"/>
    <n v="19"/>
    <n v="19"/>
    <n v="125798"/>
    <s v="包邮"/>
    <n v="4995"/>
    <n v="5.7999999999999996E-3"/>
    <n v="7123"/>
    <n v="6.3E-3"/>
    <n v="135337"/>
    <n v="2.5000000000000001E-3"/>
    <n v="72920"/>
    <n v="215976"/>
    <n v="0.33760000000000001"/>
    <n v="21"/>
    <n v="13823"/>
    <m/>
    <m/>
    <m/>
    <s v="卖家承诺24小时内发货|7天无理由|蚂蚁花呗|信用卡支付|集分宝|如实描述"/>
    <x v="10"/>
    <s v="聚光帝"/>
    <d v="2011-01-08T02:28:59"/>
    <s v="4冠"/>
    <s v="4.7; 4.7; 4.7"/>
    <n v="16171"/>
    <s v="淘宝"/>
    <n v="0.97529999999999994"/>
    <s v="女装/女士精品 "/>
    <s v=" 连衣裙"/>
    <m/>
    <d v="2015-08-29T00:00:00"/>
    <d v="1899-12-30T22:34:37"/>
    <s v="6天4时24分51秒"/>
    <s v="六"/>
    <s v="http://item.taobao.com/item.htm?id=18505173189"/>
    <s v="http://item.kandianbao.com/18505173189/"/>
    <s v="单件"/>
    <s v="51%(含)-70%(含)"/>
    <m/>
    <s v="圆领"/>
    <s v="套头"/>
    <s v="香芋紫[125cm长裙]，黑白条纹[125cm长裙]，藏青条纹[125cm长裙]，黑色[125cm长裙]，深灰[125cm长裙]，浅灰[125cm长裙]，玫红[125cm长裙]，酒红[125cm长裙]，军绿[125cm长裙]，荧光绿[125cm长裙]，宝蓝[125cm长裙]，藏青[125cm长裙]，满3件纯色15.9/件，满3件条纹20/件，请选颜色下单，要哪个拍哪个哦，黑色"/>
    <s v="简约"/>
    <s v="均码建议90-140斤"/>
    <s v="纯色"/>
    <x v="3"/>
    <s v="背带"/>
    <m/>
    <s v="织锦"/>
    <m/>
    <m/>
    <s v="大摆型"/>
    <s v="2015年夏季"/>
    <m/>
    <s v="其他"/>
    <m/>
    <s v="通勤"/>
    <m/>
    <s v="宽松腰"/>
    <s v="莫代尔"/>
    <m/>
    <s v="18-24周岁"/>
    <s v="无袖"/>
    <s v="很舒服(2555) ; 整体不错(1534) ; 穿着美(554) ; 版型好看(527) ; 面料好(424) ; 有点薄(379) ; "/>
  </r>
  <r>
    <n v="81"/>
    <s v="第 2 页 第 33 位"/>
    <s v="夏人造棉印花碎花棉绸波西米亚沙滩裙度假裙长裙无袖背心裙连衣裙"/>
    <m/>
    <n v="129"/>
    <n v="0.18990000000000001"/>
    <n v="24.5"/>
    <n v="24.5"/>
    <n v="7129"/>
    <s v="包邮"/>
    <n v="4987"/>
    <n v="5.7999999999999996E-3"/>
    <n v="7002"/>
    <n v="6.1999999999999998E-3"/>
    <n v="171549"/>
    <n v="3.0999999999999999E-3"/>
    <n v="16788"/>
    <n v="40202"/>
    <n v="0.41760000000000003"/>
    <n v="3"/>
    <n v="2285"/>
    <m/>
    <m/>
    <m/>
    <s v="7天无理由|蚂蚁花呗|信用卡支付|集分宝|如实描述"/>
    <x v="4"/>
    <s v="夏衣唯美"/>
    <d v="2013-04-12T20:41:16"/>
    <s v="2冠"/>
    <s v="4.7; 4.7; 4.6"/>
    <n v="4575"/>
    <s v="淘宝"/>
    <n v="0.98109999999999997"/>
    <s v="女装/女士精品 "/>
    <s v=" 连衣裙"/>
    <m/>
    <d v="2015-08-27T00:00:00"/>
    <d v="1899-12-30T21:35:25"/>
    <s v="4天3时25分39秒"/>
    <s v="四"/>
    <s v="http://item.taobao.com/item.htm?id=520079956508"/>
    <s v="http://item.kandianbao.com/520079956508/"/>
    <s v="单件"/>
    <m/>
    <m/>
    <m/>
    <m/>
    <s v="经典梦露，黑圆圈，蓝图腾，黑图腾，大唐舞妃，冰绿菱形，方块绿，橘底圆圈，红底圆圈，绿底圆圈，欧式竖纹，欧式红竖花，多彩呈祥，复古猫咪，竖条小红花，多彩腾花，几何圆圈拼接，多彩孔雀羽，米字旗"/>
    <m/>
    <s v="均码 80-125可穿，手机下单更优惠，多拍有优惠"/>
    <s v="花色"/>
    <x v="3"/>
    <s v="背带"/>
    <m/>
    <m/>
    <m/>
    <m/>
    <m/>
    <s v="2015年夏季"/>
    <m/>
    <m/>
    <m/>
    <s v="通勤"/>
    <m/>
    <m/>
    <m/>
    <m/>
    <m/>
    <s v="无袖"/>
    <s v="衣衣很舒服(120) ; 划算(88) ; 质量好(85) ; 板型很好(73) ; 穿上好看(39) ; 料子好(35) ; "/>
  </r>
  <r>
    <n v="82"/>
    <s v="第 2 页 第 34 位"/>
    <s v="夏季连衣裙2015新款韩版大码女装T恤裙宽松字母简约修身无袖长裙"/>
    <m/>
    <n v="118"/>
    <n v="0.16750000000000001"/>
    <n v="19.760000000000002"/>
    <n v="19.760000000000002"/>
    <n v="26080"/>
    <s v="包邮"/>
    <n v="4964"/>
    <n v="5.7999999999999996E-3"/>
    <n v="6224"/>
    <n v="5.4999999999999997E-3"/>
    <n v="122986.24000000001"/>
    <n v="2.2000000000000001E-3"/>
    <n v="16836"/>
    <n v="19941"/>
    <n v="0.84430000000000005"/>
    <n v="6"/>
    <n v="2419"/>
    <m/>
    <m/>
    <m/>
    <s v="卖家承诺48小时内发货|8天退货，退货邮费买家承担|蚂蚁花呗|集分宝|支付宝支付|如实描述"/>
    <x v="11"/>
    <s v="辉茵阁02"/>
    <d v="2015-04-09T21:36:22"/>
    <s v="1冠"/>
    <s v="4.7; 4.7; 4.6"/>
    <n v="3950"/>
    <s v="淘宝"/>
    <n v="0.9395"/>
    <s v="女装/女士精品 "/>
    <s v=" 连衣裙"/>
    <m/>
    <d v="2015-08-24T00:00:00"/>
    <d v="1899-12-30T22:35:00"/>
    <s v="1天4时25分14秒"/>
    <s v="一"/>
    <s v="http://item.taobao.com/item.htm?id=520233829503"/>
    <s v="http://item.kandianbao.com/520233829503/"/>
    <s v="单件"/>
    <s v="81%(含)-90%(含)"/>
    <m/>
    <s v="圆领"/>
    <s v="套头"/>
    <s v="白色，黑色"/>
    <s v="韩版"/>
    <s v="S，M，L，XL，2XL"/>
    <s v="字母"/>
    <x v="3"/>
    <s v="其他/other"/>
    <m/>
    <s v="织锦"/>
    <s v="印花"/>
    <m/>
    <s v="其他"/>
    <s v="2015年夏季"/>
    <m/>
    <s v="常规"/>
    <m/>
    <s v="通勤"/>
    <m/>
    <s v="中腰"/>
    <s v="棉"/>
    <m/>
    <s v="18-24周岁"/>
    <s v="无袖"/>
    <s v="整体不错(221) ; 衣服很舒服(100) ; 式样好(74) ; 穿着效果好(69) ; 尺码很好(57) ; 款式漂亮(50) ; "/>
  </r>
  <r>
    <n v="83"/>
    <s v="第 2 页 第 35 位"/>
    <s v="连衣裙夏季女2015新款棉绸沙滩裙无袖吊带裙夏波西米亚短裙度假裙"/>
    <n v="8001"/>
    <n v="58"/>
    <n v="0.495"/>
    <n v="28.71"/>
    <n v="28.71"/>
    <n v="8771"/>
    <s v="包邮"/>
    <n v="4949"/>
    <n v="5.7999999999999996E-3"/>
    <n v="6437"/>
    <n v="5.7000000000000002E-3"/>
    <n v="184806.27"/>
    <n v="3.3E-3"/>
    <n v="21754"/>
    <n v="60003"/>
    <n v="0.36249999999999999"/>
    <n v="8"/>
    <n v="3448"/>
    <m/>
    <m/>
    <m/>
    <s v="卖家承诺48小时内发货|8天退货，退货邮费买家承担|蚂蚁花呗|信用卡支付|集分宝|如实描述"/>
    <x v="4"/>
    <s v="jiawdetaobao"/>
    <d v="2013-02-23T17:26:15"/>
    <s v="2冠"/>
    <s v="4.8; 4.8; 4.7"/>
    <n v="9958"/>
    <s v="淘宝"/>
    <n v="0.9556"/>
    <s v="女装/女士精品 "/>
    <s v=" 连衣裙"/>
    <m/>
    <d v="2015-08-27T00:00:00"/>
    <d v="1899-12-30T22:42:50"/>
    <s v="4天4时33分4秒"/>
    <s v="四"/>
    <s v="http://item.taobao.com/item.htm?id=44498365146"/>
    <s v="http://item.kandianbao.com/44498365146/"/>
    <s v="单件"/>
    <s v="51%(含)-70%(含)"/>
    <m/>
    <m/>
    <s v="套头"/>
    <s v="蓝底炫花2号，气球碎花，蓝底炫花，蓝底樱桃花，单层红格，单层蓝格，黑底太阳花，单层抽象碎花，单层圆点，玫瑰小碎花，黑底樱桃花"/>
    <s v="复古"/>
    <s v="M，L，XL，2XL"/>
    <s v="花色"/>
    <x v="2"/>
    <s v="吊带"/>
    <m/>
    <s v="绸缎"/>
    <s v="印花"/>
    <n v="8001"/>
    <s v="大摆型"/>
    <s v="2015年夏季"/>
    <m/>
    <s v="其他"/>
    <s v="自主品牌"/>
    <s v="通勤"/>
    <m/>
    <s v="中腰"/>
    <s v="棉"/>
    <m/>
    <s v="18-24周岁"/>
    <s v="无袖"/>
    <s v="很舒适(656) ; 质量不错(432) ; 外形好看(306) ; 料子不错(244) ; 穿着漂亮(188) ; 尺码不对(36) ; "/>
  </r>
  <r>
    <n v="84"/>
    <s v="第 2 页 第 36 位"/>
    <s v="夏装新款连衣裙森女日系刺绣收腰中长款裙子小清新棉麻短袖学生裙"/>
    <m/>
    <n v="72"/>
    <n v="0.5"/>
    <n v="36"/>
    <n v="36"/>
    <n v="66722"/>
    <s v="包邮"/>
    <n v="4908"/>
    <n v="5.7000000000000002E-3"/>
    <n v="6437"/>
    <n v="5.7000000000000002E-3"/>
    <n v="231732"/>
    <n v="4.1999999999999997E-3"/>
    <n v="46600"/>
    <n v="532697"/>
    <n v="8.7499999999999994E-2"/>
    <n v="27"/>
    <n v="6488"/>
    <m/>
    <s v="1.单笔订单满88元减3元；免运费；减后满88元，送礼物，送3.00元优惠卷，亲，快下手吧！|2.单笔订单满128元减5元；免运费；减后满128元，送礼物，送5.00元优惠卷，亲，快下手吧！|3.单笔订单满388元减10元；免运费；减后满388元，送礼物，送10.00元优惠卷，亲，快下手吧！"/>
    <m/>
    <s v="7天无理由|蚂蚁花呗|信用卡支付|集分宝|如实描述"/>
    <x v="0"/>
    <s v="us时尚风阁"/>
    <d v="2014-03-19T00:21:03"/>
    <s v="3冠"/>
    <s v="4.7; 4.7; 4.5"/>
    <n v="11208"/>
    <s v="淘宝"/>
    <n v="0.97929999999999995"/>
    <s v="女装/女士精品 "/>
    <s v=" 连衣裙"/>
    <m/>
    <d v="2015-08-23T00:00:00"/>
    <d v="1899-12-30T21:00:00"/>
    <d v="1899-12-30T02:50:14"/>
    <s v="日"/>
    <s v="http://item.taobao.com/item.htm?id=45615417292"/>
    <s v="http://item.kandianbao.com/45615417292/"/>
    <s v="单件"/>
    <s v="81%(含)-90%(含)"/>
    <s v="A型"/>
    <s v="圆领"/>
    <s v="套头"/>
    <s v="口袋连衣裙，刺绣鱼，蓝白裙，绿条纹裙，民族刺绣，细条纹裙，蓝条纹裙，蕾丝领连衣裙，田园刺绣，两件套，蕾丝裙，露肩裙，大树裙，海锚裙，贴布树裙，小旗连衣裙，红条纹裙（棉），白木耳边，字母裙，薄牛仔裙，眼睛裙，棉麻露肩裙，碎花裙"/>
    <m/>
    <s v="均码（好质量），收藏送淘金币"/>
    <s v="条纹"/>
    <x v="1"/>
    <m/>
    <m/>
    <m/>
    <s v="贴布，绣花，口袋，拼接，纽扣，蕾丝，印花"/>
    <m/>
    <s v="A字裙"/>
    <s v="2015年夏季"/>
    <m/>
    <s v="常规"/>
    <m/>
    <s v="甜美"/>
    <s v="森女"/>
    <s v="中腰"/>
    <s v="麻"/>
    <m/>
    <s v="18-24周岁"/>
    <s v="短袖"/>
    <s v="宝贝很赞(955) ; 外形好看(905) ; 衣衣很舒服(481) ; 穿上好看(462) ; 料子好(318) ; 质量一般(70) ; "/>
  </r>
  <r>
    <n v="85"/>
    <s v="第 2 页 第 37 位"/>
    <s v="彩黛妃2015春夏装新款时尚韩版修身大码镂空拼接短袖连衣裙T0756"/>
    <s v="T0756"/>
    <n v="128"/>
    <n v="0.1547"/>
    <n v="19.8"/>
    <n v="19.8"/>
    <n v="387139"/>
    <s v="包邮"/>
    <n v="4908"/>
    <n v="5.7000000000000002E-3"/>
    <n v="6891"/>
    <n v="6.1000000000000004E-3"/>
    <n v="136441.79999999999"/>
    <n v="2.5000000000000001E-3"/>
    <n v="59732"/>
    <s v="-"/>
    <s v="-"/>
    <n v="2205"/>
    <n v="38147"/>
    <m/>
    <m/>
    <m/>
    <m/>
    <x v="3"/>
    <s v="彩黛妃旗舰店"/>
    <d v="2014-03-25T10:48:46"/>
    <s v="1金冠"/>
    <s v="4.6; 4.6; 4.8"/>
    <n v="308260"/>
    <s v="天猫"/>
    <n v="1"/>
    <s v="女装/女士精品 "/>
    <s v=" 连衣裙"/>
    <m/>
    <d v="2015-08-29T00:00:00"/>
    <d v="1899-12-30T11:20:16"/>
    <s v="5天17时10分30秒"/>
    <s v="六"/>
    <s v="http://item.taobao.com/item.htm?id=39586932993"/>
    <s v="http://item.kandianbao.com/39586932993/"/>
    <s v="单件"/>
    <s v="95%以上"/>
    <m/>
    <s v="圆领"/>
    <s v="套头"/>
    <s v="黑白"/>
    <s v="韩版"/>
    <s v="S，M，L，XL，XXL"/>
    <s v="其他"/>
    <x v="1"/>
    <s v="其他/other"/>
    <m/>
    <s v="其他"/>
    <m/>
    <s v="T0756"/>
    <s v="A字裙"/>
    <s v="2015年夏季"/>
    <s v="聚酯纤维94.8% 聚氨酯弹性纤维(氨纶)5.2%"/>
    <s v="常规"/>
    <s v="彩黛妃"/>
    <s v="通勤"/>
    <m/>
    <s v="高腰"/>
    <s v="涤纶"/>
    <m/>
    <s v="25-29周岁"/>
    <s v="短袖"/>
    <s v="整体不错(3384) ; 穿着美(2697) ; 版型好看(2362) ; 衣服很合身(1427) ; 款式漂亮(798) ; 物流太慢(212) ; "/>
  </r>
  <r>
    <n v="86"/>
    <s v="第 2 页 第 38 位"/>
    <s v="2015夏季森女无袖背心连衣裙小清新甜美学生短裙子蕾丝花朵闺蜜装"/>
    <m/>
    <n v="121"/>
    <n v="0.19009999999999999"/>
    <n v="23"/>
    <n v="23"/>
    <n v="33156"/>
    <s v="包邮"/>
    <n v="4900"/>
    <n v="5.7000000000000002E-3"/>
    <n v="6434"/>
    <n v="5.7000000000000002E-3"/>
    <n v="147982"/>
    <n v="2.7000000000000001E-3"/>
    <n v="28646"/>
    <n v="39909"/>
    <n v="0.71779999999999999"/>
    <n v="3"/>
    <n v="1195"/>
    <m/>
    <m/>
    <m/>
    <s v="7天无理由|集分宝|支付宝支付|如实描述"/>
    <x v="4"/>
    <s v="茴香依依"/>
    <d v="2015-05-23T21:11:46"/>
    <s v="4钻"/>
    <s v="4.5; 4.5; 4.4"/>
    <n v="1988"/>
    <s v="淘宝"/>
    <n v="0.96719999999999995"/>
    <s v="女装/女士精品 "/>
    <s v=" 连衣裙"/>
    <m/>
    <d v="2015-08-29T00:00:00"/>
    <d v="1899-12-30T22:14:29"/>
    <s v="6天4时4分43秒"/>
    <s v="六"/>
    <s v="http://item.taobao.com/item.htm?id=520436013104"/>
    <s v="http://item.kandianbao.com/520436013104/"/>
    <s v="单件"/>
    <s v="81%(含)-90%(含)"/>
    <m/>
    <s v="圆领"/>
    <s v="套头"/>
    <s v="白色【优质面料】，蓝色【优质面料】，粉红【优质面料】，白色【普通面料】，蓝色【普通面料】，粉红【普通面料】"/>
    <m/>
    <s v="S，M，L，XL，2XL"/>
    <s v="纯色"/>
    <x v="2"/>
    <s v="其他/other"/>
    <m/>
    <s v="其他"/>
    <s v="蝴蝶结，拼接，纱网"/>
    <m/>
    <s v="公主裙"/>
    <s v="2015年夏季"/>
    <m/>
    <m/>
    <m/>
    <s v="甜美"/>
    <s v="公主"/>
    <s v="高腰"/>
    <s v="其他"/>
    <m/>
    <m/>
    <s v="无袖"/>
    <s v="质量好(65) ; 板型很好(61) ; 服务不错(34) ; 物流快(32) ; 穿上好看(23) ; 没有色差(20) ; "/>
  </r>
  <r>
    <n v="87"/>
    <s v="第 2 页 第 39 位"/>
    <s v="2015夏秋季新品女装雪纺两件套套装裙气质性感修身包臀开叉连衣裙"/>
    <s v="A1689"/>
    <n v="369"/>
    <n v="0.187"/>
    <n v="69"/>
    <n v="69"/>
    <n v="42052"/>
    <s v="包邮"/>
    <n v="4878"/>
    <n v="5.7000000000000002E-3"/>
    <n v="7059"/>
    <n v="6.1999999999999998E-3"/>
    <n v="487071"/>
    <n v="8.8000000000000005E-3"/>
    <n v="37910"/>
    <n v="44020"/>
    <n v="0.86119999999999997"/>
    <n v="3"/>
    <n v="751"/>
    <m/>
    <m/>
    <m/>
    <s v="7天无理由|蚂蚁花呗|信用卡支付|集分宝|如实描述"/>
    <x v="4"/>
    <s v="艾薇妮露"/>
    <d v="2013-05-20T15:23:32"/>
    <s v="1冠"/>
    <s v="4.7; 4.7; 4.6"/>
    <n v="10944"/>
    <s v="淘宝"/>
    <n v="0.99"/>
    <s v="女装/女士精品 "/>
    <s v=" 连衣裙"/>
    <m/>
    <d v="2015-08-26T00:00:00"/>
    <d v="1899-12-30T20:22:04"/>
    <s v="3天2时12分18秒"/>
    <s v="三"/>
    <s v="http://item.taobao.com/item.htm?id=520677973804"/>
    <s v="http://item.kandianbao.com/520677973804/"/>
    <s v="两件套"/>
    <m/>
    <s v="A型"/>
    <s v="圆领"/>
    <s v="套头"/>
    <s v="上衣+半身裙套装，单件上衣，单件裙子"/>
    <s v="韩版"/>
    <s v="S，M，L，XL，2XL"/>
    <s v="纯色"/>
    <x v="1"/>
    <s v="其他/other"/>
    <m/>
    <s v="雪纺"/>
    <s v="不对称"/>
    <s v="A1689"/>
    <s v="一步裙"/>
    <s v="2015年夏季"/>
    <m/>
    <s v="常规"/>
    <s v="艾薇妮露"/>
    <s v="通勤"/>
    <m/>
    <s v="高腰"/>
    <m/>
    <m/>
    <m/>
    <s v="五分袖"/>
    <m/>
  </r>
  <r>
    <n v="88"/>
    <s v="第 2 页 第 40 位"/>
    <s v="两件套连衣裙夏季中裙韩版新款印花短袖雪纺套装修身蕾丝女装裙子"/>
    <m/>
    <n v="88"/>
    <n v="0.46589999999999998"/>
    <n v="41"/>
    <n v="41"/>
    <n v="32340"/>
    <s v="包邮"/>
    <n v="4872"/>
    <n v="5.7000000000000002E-3"/>
    <n v="6927"/>
    <n v="6.1000000000000004E-3"/>
    <n v="284007"/>
    <n v="5.1000000000000004E-3"/>
    <n v="13404"/>
    <n v="88323"/>
    <n v="0.15179999999999999"/>
    <n v="9"/>
    <n v="753"/>
    <m/>
    <m/>
    <m/>
    <s v="卖家承诺24小时内发货|15天退货，退货邮费买家承担|蚂蚁花呗|信用卡支付|集分宝|如实描述"/>
    <x v="4"/>
    <s v="完美_衣恋"/>
    <d v="2013-05-26T21:12:20"/>
    <s v="2冠"/>
    <s v="4.7; 4.7; 4.7"/>
    <n v="4809"/>
    <s v="淘宝"/>
    <n v="0.98929999999999996"/>
    <s v="女装/女士精品 "/>
    <s v=" 连衣裙"/>
    <m/>
    <d v="2015-08-25T00:00:00"/>
    <d v="1899-12-30T21:05:00"/>
    <s v="2天2时55分14秒"/>
    <s v="二"/>
    <s v="http://item.taobao.com/item.htm?id=520501401676"/>
    <s v="http://item.kandianbao.com/520501401676/"/>
    <s v="两件套"/>
    <s v="81%(含)-90%(含)"/>
    <s v="H型"/>
    <s v="圆领"/>
    <s v="拉链"/>
    <s v="单件上衣，单件裙子，(上衣+裙子)，提示：马上涨价"/>
    <s v="韩版"/>
    <s v="S，M，L，XL，2XL"/>
    <s v="纯色"/>
    <x v="2"/>
    <m/>
    <m/>
    <s v="雪纺"/>
    <s v="绣花，拼接，蕾丝，印花"/>
    <m/>
    <s v="一步裙"/>
    <s v="2015年夏季"/>
    <m/>
    <s v="常规"/>
    <m/>
    <s v="通勤"/>
    <m/>
    <s v="高腰"/>
    <s v="涤纶"/>
    <m/>
    <m/>
    <s v="短袖"/>
    <s v="外形好看(28) ; 宝贝很赞(20) ; 码数很准(16) ; 衣衣很舒服(16) ; 服务不错(13) ; 便宜(12) ; "/>
  </r>
  <r>
    <n v="89"/>
    <s v="第 2 页 第 41 位"/>
    <s v="毛菇小象 牛仔背带连衣裙2015夏女吊带背心裙子修身显瘦秋装中裙"/>
    <s v="G1146"/>
    <n v="196"/>
    <n v="0.5"/>
    <n v="98"/>
    <n v="98"/>
    <n v="35638"/>
    <n v="5"/>
    <n v="4850"/>
    <n v="5.7000000000000002E-3"/>
    <n v="6063"/>
    <n v="5.3E-3"/>
    <n v="594174"/>
    <n v="1.0800000000000001E-2"/>
    <n v="61312"/>
    <n v="107428"/>
    <n v="0.57069999999999999"/>
    <n v="112"/>
    <n v="2437"/>
    <m/>
    <s v="1.单笔订单满168元免运费(不包邮地区：内蒙古;甘肃;青海;宁夏;新疆;西藏;台湾;香港;澳门;海外)，上不封顶！亲，快下手吧！"/>
    <m/>
    <s v="卖家承诺15天内发货|7天无理由|蚂蚁花呗|信用卡支付|集分宝|如实描述"/>
    <x v="0"/>
    <s v="毛菇小象"/>
    <d v="2010-12-27T11:08:16"/>
    <s v="4金冠"/>
    <s v="4.7; 4.8; 4.7"/>
    <n v="5888612"/>
    <s v="淘宝"/>
    <n v="0.99129999999999996"/>
    <s v="女装/女士精品 "/>
    <s v=" 连衣裙"/>
    <m/>
    <d v="2015-08-24T00:00:00"/>
    <d v="1899-12-30T22:09:02"/>
    <s v="1天3时59分16秒"/>
    <s v="一"/>
    <s v="http://item.taobao.com/item.htm?id=45376149752"/>
    <s v="http://item.kandianbao.com/45376149752/"/>
    <s v="单件"/>
    <s v="51%(含)-70%(含)"/>
    <s v="H型"/>
    <m/>
    <m/>
    <s v="蓝色"/>
    <m/>
    <s v="XS，S，M，L，XL"/>
    <s v="纯色"/>
    <x v="0"/>
    <s v="背带"/>
    <m/>
    <s v="其他"/>
    <s v="口袋，纽扣"/>
    <s v="G1146"/>
    <s v="一步裙"/>
    <s v="2015年夏季"/>
    <m/>
    <m/>
    <s v="SMALL LIKE/毛菇小象"/>
    <s v="街头"/>
    <m/>
    <m/>
    <m/>
    <s v="欧美"/>
    <m/>
    <s v="无袖"/>
    <s v="质量好(83) ; 式样好(30) ; 穿上好看(22) ; 衣衣很舒服(19) ; 料子好(17) ; 码数不合(18) ; "/>
  </r>
  <r>
    <n v="90"/>
    <s v="第 2 页 第 42 位"/>
    <s v="jto 夏装新款韩版欧根纱连衣裙短袖波点两件套高腰蓬蓬裙女071425"/>
    <m/>
    <n v="110"/>
    <n v="0.8"/>
    <n v="88"/>
    <n v="88"/>
    <n v="1609"/>
    <s v="包邮"/>
    <n v="4772"/>
    <n v="5.5999999999999999E-3"/>
    <n v="4984"/>
    <n v="4.4000000000000003E-3"/>
    <n v="438592"/>
    <n v="7.9000000000000008E-3"/>
    <n v="62594"/>
    <n v="78023"/>
    <n v="0.80230000000000001"/>
    <n v="0"/>
    <n v="1316"/>
    <m/>
    <s v="1.单笔订单满199元免运费(不包邮地区：内蒙古;黑龙江;甘肃;青海;新疆;西藏;台湾;香港;澳门;海外)，亲，快下手吧！"/>
    <m/>
    <s v="卖家承诺10天内发货|7天无理由|蚂蚁花呗|信用卡支付|集分宝|如实描述"/>
    <x v="0"/>
    <s v="zjforeverxxxx"/>
    <d v="2008-07-14T22:11:30"/>
    <s v="2金冠"/>
    <s v="4.6; 4.7; 4.7"/>
    <n v="1458842"/>
    <s v="淘宝"/>
    <n v="0.98819999999999997"/>
    <s v="女装/女士精品 "/>
    <s v=" 连衣裙"/>
    <m/>
    <d v="2015-08-23T00:00:00"/>
    <d v="1899-12-30T21:47:22"/>
    <d v="1899-12-30T03:37:36"/>
    <s v="日"/>
    <s v="http://item.taobao.com/item.htm?id=520610422686"/>
    <s v="http://item.kandianbao.com/520610422686/"/>
    <s v="单件"/>
    <s v="31%(含)-50%(含)"/>
    <m/>
    <s v="圆领"/>
    <s v="套头"/>
    <s v="白色，黑色"/>
    <s v="韩版"/>
    <s v="M，L"/>
    <s v="圆点"/>
    <x v="2"/>
    <s v="其他/other"/>
    <m/>
    <s v="欧根纱"/>
    <s v="纱网"/>
    <m/>
    <s v="公主裙"/>
    <s v="2015年夏季"/>
    <m/>
    <s v="常规"/>
    <m/>
    <s v="通勤"/>
    <m/>
    <s v="高腰"/>
    <m/>
    <m/>
    <s v="25-29周岁"/>
    <s v="短袖"/>
    <s v="外形好看(22) ; 质量不错(12) ; 穿着漂亮(11) ; 服务好(9) ; 很舒适(7) ; 不舒适(4) ; "/>
  </r>
  <r>
    <n v="91"/>
    <s v="第 2 页 第 43 位"/>
    <s v="欧洲站2015夏季新款字母印花连帽修身海军风卫衣连衣裙大码女中裙"/>
    <n v="335"/>
    <n v="388"/>
    <n v="0.33250000000000002"/>
    <n v="129"/>
    <n v="129"/>
    <n v="40139"/>
    <s v="包邮"/>
    <n v="4757"/>
    <n v="5.5999999999999999E-3"/>
    <n v="5004"/>
    <n v="4.4000000000000003E-3"/>
    <n v="645516"/>
    <n v="1.17E-2"/>
    <n v="6758"/>
    <n v="14854"/>
    <n v="0.45500000000000002"/>
    <n v="0"/>
    <n v="1909"/>
    <m/>
    <m/>
    <m/>
    <s v="卖家承诺72小时内发货|7天无理由|蚂蚁花呗|信用卡支付|集分宝|如实描述"/>
    <x v="9"/>
    <s v="粉黛尔女装829"/>
    <d v="2012-10-26T20:06:29"/>
    <s v="3冠"/>
    <s v="4.7; 4.7; 4.7"/>
    <n v="38588"/>
    <s v="淘宝"/>
    <n v="0.99299999999999999"/>
    <s v="女装/女士精品 "/>
    <s v=" 连衣裙"/>
    <m/>
    <d v="2015-08-25T00:00:00"/>
    <d v="1899-12-30T10:14:39"/>
    <s v="1天16时4分53秒"/>
    <s v="二"/>
    <s v="http://item.taobao.com/item.htm?id=44953419115"/>
    <s v="http://item.kandianbao.com/44953419115/"/>
    <s v="单件"/>
    <s v="91%(含)-95%(含)"/>
    <m/>
    <s v="连帽"/>
    <s v="套头"/>
    <s v="海军蓝【短袖】，灰色【短袖】，灰色【秋长袖】，海军蓝【秋长袖】"/>
    <m/>
    <s v="S，M，L，XL，2XL，3XL"/>
    <s v="其他"/>
    <x v="0"/>
    <s v="其他/other"/>
    <m/>
    <s v="织锦"/>
    <s v="树脂固色，印花"/>
    <n v="335"/>
    <s v="A字裙"/>
    <s v="2015年夏季"/>
    <m/>
    <s v="其他"/>
    <m/>
    <s v="街头"/>
    <m/>
    <s v="宽松腰"/>
    <s v="棉"/>
    <s v="欧美"/>
    <m/>
    <s v="短袖"/>
    <s v="衣服不错(96) ; 衣服很舒服(59) ; 穿着效果好(54) ; 布料好(28) ; 尺码很好(27) ; 尺寸有偏差(11) ; "/>
  </r>
  <r>
    <n v="92"/>
    <s v="第 2 页 第 44 位"/>
    <s v="2015夏季新款韩版女装连衣裙显瘦吊带裙无袖宽松破洞牛仔背带裙潮"/>
    <m/>
    <n v="163"/>
    <n v="0.31900000000000001"/>
    <n v="52"/>
    <n v="52"/>
    <n v="9678"/>
    <s v="包邮"/>
    <n v="4733"/>
    <n v="5.4999999999999997E-3"/>
    <n v="5855"/>
    <n v="5.1999999999999998E-3"/>
    <n v="304460"/>
    <n v="5.4999999999999997E-3"/>
    <n v="22470"/>
    <n v="55797"/>
    <n v="0.4027"/>
    <n v="6"/>
    <n v="3080"/>
    <m/>
    <m/>
    <m/>
    <s v="10天退货，退货邮费买家承担|蚂蚁花呗|信用卡支付|集分宝|如实描述"/>
    <x v="4"/>
    <s v="miley006"/>
    <d v="2014-10-28T15:45:21"/>
    <s v="1冠"/>
    <s v="4.8; 4.8; 4.8"/>
    <n v="3258"/>
    <s v="淘宝"/>
    <n v="0.98140000000000005"/>
    <s v="女装/女士精品 "/>
    <s v=" 连衣裙"/>
    <m/>
    <d v="2015-08-28T00:00:00"/>
    <d v="1899-12-30T20:06:10"/>
    <s v="5天1时56分24秒"/>
    <s v="五"/>
    <s v="http://item.taobao.com/item.htm?id=45636774070"/>
    <s v="http://item.kandianbao.com/45636774070/"/>
    <s v="单件"/>
    <s v="81%(含)-90%(含)"/>
    <s v="A型"/>
    <s v="其他"/>
    <s v="套头"/>
    <s v="白色（背带），黑色（背带），白色背带+黑背心，黑色背带+白背心，白色背带+白背心，黑色背带+黑背心"/>
    <s v="韩版"/>
    <s v="S，M，L，XL"/>
    <s v="字母"/>
    <x v="2"/>
    <s v="背带"/>
    <m/>
    <s v="牛仔布"/>
    <s v="流苏，破洞，露背，手工磨破，口袋，背带，印花"/>
    <m/>
    <s v="A字裙"/>
    <s v="2015年夏季"/>
    <m/>
    <s v="其他"/>
    <m/>
    <s v="通勤"/>
    <m/>
    <s v="高腰"/>
    <s v="棉"/>
    <m/>
    <s v="25-29周岁"/>
    <s v="无袖"/>
    <s v="宝贝很赞(413) ; 版型好看(246) ; 穿着漂亮(171) ; 很舒适(143) ; 衣服很合身(107) ; 很薄(53) ; "/>
  </r>
  <r>
    <n v="93"/>
    <s v="第 3 页 第 1 位"/>
    <s v="2015夏装新款中老年女装印花连衣裙夏季大码修身中年妈妈装碎花裙"/>
    <n v="1510"/>
    <n v="99"/>
    <n v="0.159"/>
    <n v="15.74"/>
    <n v="15.74"/>
    <n v="61662"/>
    <s v="包邮"/>
    <n v="4723"/>
    <n v="5.4999999999999997E-3"/>
    <n v="11465"/>
    <n v="1.01E-2"/>
    <n v="180459.1"/>
    <n v="3.3E-3"/>
    <n v="11028"/>
    <n v="173751"/>
    <n v="6.3500000000000001E-2"/>
    <n v="139"/>
    <n v="15034"/>
    <m/>
    <m/>
    <m/>
    <s v="卖家承诺72小时内发货|7天无理由|蚂蚁花呗|信用卡支付|集分宝|如实描述"/>
    <x v="5"/>
    <s v="a328643702"/>
    <d v="2010-09-26T18:43:30"/>
    <s v="5冠"/>
    <s v="4.7; 4.7; 4.7"/>
    <n v="31510"/>
    <s v="淘宝"/>
    <n v="0.9849"/>
    <s v="女装/女士精品 "/>
    <s v=" 连衣裙"/>
    <m/>
    <d v="2015-08-27T00:00:00"/>
    <d v="1899-12-30T21:50:11"/>
    <s v="4天3时40分25秒"/>
    <s v="四"/>
    <s v="http://item.taobao.com/item.htm?id=44018481952"/>
    <s v="http://item.kandianbao.com/44018481952/"/>
    <s v="单件"/>
    <s v="95%以上"/>
    <m/>
    <s v="V领"/>
    <s v="套头"/>
    <s v="15号色，12号色，11号色，9号色，5号色，3号色，2号色，13号色，16号色"/>
    <s v="韩版"/>
    <s v="【套餐更多优惠】，L，XL，2XL，3XL，4XL"/>
    <s v="碎花"/>
    <x v="1"/>
    <s v="其他/other"/>
    <m/>
    <s v="其他"/>
    <s v="褶皱，印花"/>
    <n v="1510"/>
    <s v="大摆型"/>
    <s v="2015年夏季"/>
    <m/>
    <s v="公主袖"/>
    <m/>
    <s v="通勤"/>
    <m/>
    <s v="中腰"/>
    <s v="涤纶"/>
    <m/>
    <s v="30-34周岁"/>
    <s v="短袖"/>
    <s v="宝贝很赞(1997) ; 人群(1746) ; 衣衣很舒服(1397) ; 外形好看(1038) ; 穿上好看(747) ; 码数不合(128) ; "/>
  </r>
  <r>
    <n v="94"/>
    <s v="第 3 页 第 2 位"/>
    <s v="夏季连衣裙2015春夏新款韩版女式短袖T恤裙大码女装字母宽松长裙"/>
    <m/>
    <n v="91"/>
    <n v="0.17580000000000001"/>
    <n v="16"/>
    <n v="16"/>
    <n v="1087556"/>
    <s v="包邮"/>
    <n v="4707"/>
    <n v="5.4999999999999997E-3"/>
    <n v="5761"/>
    <n v="5.1000000000000004E-3"/>
    <n v="92176"/>
    <n v="1.6999999999999999E-3"/>
    <n v="56436"/>
    <n v="90233"/>
    <n v="0.62539999999999996"/>
    <n v="19"/>
    <n v="13395"/>
    <m/>
    <m/>
    <m/>
    <s v="7天无理由|蚂蚁花呗|信用卡支付|集分宝|如实描述"/>
    <x v="4"/>
    <s v="韩衣馆shop"/>
    <d v="2013-10-24T13:21:55"/>
    <s v="3冠"/>
    <s v="4.7; 4.7; 4.7"/>
    <n v="10680"/>
    <s v="淘宝"/>
    <n v="0.97489999999999999"/>
    <s v="女装/女士精品 "/>
    <s v=" 连衣裙"/>
    <m/>
    <d v="2015-08-30T00:00:00"/>
    <d v="1899-12-30T16:06:40"/>
    <s v="6天21时56分54秒"/>
    <s v="日"/>
    <s v="http://item.taobao.com/item.htm?id=45393481059"/>
    <s v="http://item.kandianbao.com/45393481059/"/>
    <s v="单件"/>
    <s v="81%(含)-90%(含)"/>
    <m/>
    <s v="圆领"/>
    <s v="套头"/>
    <s v="黑色（优质正品），白色（优质正品），黑色（普通起球）"/>
    <s v="韩版"/>
    <s v="S（不起球），M（质量超好），L（厂家直供），XL（全国包邮），XXL（数量有限），3XL(好质量)，4XL(限量抢购)，质量问题包退，优质质量超好，收藏送礼物，100%不起球不掉色"/>
    <s v="纯色"/>
    <x v="1"/>
    <s v="其他/other"/>
    <m/>
    <s v="织锦"/>
    <s v="印花"/>
    <m/>
    <s v="A字裙"/>
    <s v="2015年夏季"/>
    <m/>
    <s v="常规"/>
    <m/>
    <s v="通勤"/>
    <m/>
    <s v="中腰"/>
    <s v="棉"/>
    <m/>
    <s v="18-24周岁"/>
    <s v="短袖"/>
    <s v="整体不错(2505) ; 衣服很舒服(2151) ; 穿着效果好(1468) ; 式样好(1035) ; 布料好(726) ; 颜色一般(259) ; "/>
  </r>
  <r>
    <n v="95"/>
    <s v="第 3 页 第 3 位"/>
    <s v="2015夏装新款女装镂空欧根纱蓬蓬裙 印花碎花两件套连衣裙套装女"/>
    <m/>
    <n v="118"/>
    <n v="0.32200000000000001"/>
    <n v="38"/>
    <n v="38"/>
    <n v="3823"/>
    <s v="包邮"/>
    <n v="4706"/>
    <n v="5.4999999999999997E-3"/>
    <n v="5520"/>
    <n v="4.8999999999999998E-3"/>
    <n v="209760"/>
    <n v="3.8E-3"/>
    <n v="24248"/>
    <n v="120085"/>
    <n v="0.2019"/>
    <n v="21"/>
    <n v="1844"/>
    <m/>
    <m/>
    <m/>
    <s v="卖家承诺72小时内发货|8天退货，退货邮费买家承担|蚂蚁花呗|信用卡支付|集分宝|如实描述"/>
    <x v="4"/>
    <s v="wanwalkerman"/>
    <d v="2012-07-22T11:34:23"/>
    <s v="5冠"/>
    <s v="4.7; 4.7; 4.6"/>
    <n v="139674"/>
    <s v="淘宝"/>
    <n v="0.9849"/>
    <s v="女装/女士精品 "/>
    <s v=" 连衣裙"/>
    <m/>
    <d v="2015-08-29T00:00:00"/>
    <d v="1899-12-30T16:32:25"/>
    <s v="5天22时22分39秒"/>
    <s v="六"/>
    <s v="http://item.taobao.com/item.htm?id=520318339796"/>
    <s v="http://item.kandianbao.com/520318339796/"/>
    <s v="其他"/>
    <m/>
    <s v="A型"/>
    <s v="其他"/>
    <s v="其他"/>
    <s v="蓝色(一套)，单件上衣，单半身裙"/>
    <s v="复古"/>
    <s v="S，M，L，XL"/>
    <s v="其他"/>
    <x v="2"/>
    <s v="其他/other"/>
    <m/>
    <s v="其他"/>
    <s v="绣花，拼接，3D，印花"/>
    <m/>
    <s v="A字裙"/>
    <s v="2015年夏季"/>
    <m/>
    <s v="其他"/>
    <s v="无"/>
    <s v="通勤"/>
    <m/>
    <s v="高腰"/>
    <s v="其他"/>
    <m/>
    <m/>
    <s v="短袖"/>
    <s v="质量好(51) ; 式样好(47) ; 穿上好看(34) ; 衣衣很舒服(26) ; 款式蛮好(26) ; 尺码很好(25) ; "/>
  </r>
  <r>
    <n v="96"/>
    <s v="第 3 页 第 4 位"/>
    <s v="毛菇小象 修身休闲连衣裙 2015夏季新款短袖中裙秋装大码女装裙子"/>
    <s v="Q3827"/>
    <n v="138"/>
    <n v="0.5"/>
    <n v="69"/>
    <n v="69"/>
    <n v="26139"/>
    <n v="5"/>
    <n v="4680"/>
    <n v="5.4999999999999997E-3"/>
    <n v="12524"/>
    <n v="1.0999999999999999E-2"/>
    <n v="864156"/>
    <n v="1.5599999999999999E-2"/>
    <n v="105020"/>
    <n v="145604"/>
    <n v="0.72130000000000005"/>
    <n v="68"/>
    <n v="143"/>
    <m/>
    <s v="1.单笔订单满168元免运费(不包邮地区：内蒙古;甘肃;青海;宁夏;新疆;西藏;台湾;香港;澳门;海外)，上不封顶！亲，快下手吧！"/>
    <m/>
    <s v="卖家承诺15天内发货|7天无理由|蚂蚁花呗|信用卡支付|集分宝|如实描述"/>
    <x v="0"/>
    <s v="毛菇小象"/>
    <d v="2010-12-27T11:08:16"/>
    <s v="4金冠"/>
    <s v="4.7; 4.8; 4.7"/>
    <n v="5888612"/>
    <s v="淘宝"/>
    <n v="0.99129999999999996"/>
    <s v="女装/女士精品 "/>
    <s v=" 连衣裙"/>
    <m/>
    <d v="2015-08-26T00:00:00"/>
    <d v="1899-12-30T10:53:04"/>
    <s v="2天16时43分18秒"/>
    <s v="三"/>
    <s v="http://item.taobao.com/item.htm?id=45702805708"/>
    <s v="http://item.kandianbao.com/45702805708/"/>
    <s v="单件"/>
    <s v="51%(含)-70%(含)"/>
    <m/>
    <s v="圆领"/>
    <s v="套头"/>
    <s v="黑色"/>
    <m/>
    <s v="S，M，L，XL"/>
    <s v="人物"/>
    <x v="1"/>
    <m/>
    <m/>
    <m/>
    <s v="印花"/>
    <s v="Q3827"/>
    <s v="一步裙"/>
    <s v="2015年秋季"/>
    <m/>
    <s v="常规"/>
    <s v="SMALL LIKE/毛菇小象"/>
    <s v="街头"/>
    <m/>
    <s v="宽松腰"/>
    <m/>
    <s v="欧美"/>
    <m/>
    <s v="短袖"/>
    <m/>
  </r>
  <r>
    <n v="97"/>
    <s v="第 3 页 第 5 位"/>
    <s v="正品2015新款时尚夏季棉麻连衣裙两件套亚麻长裙气质修身女装裙子"/>
    <m/>
    <n v="488"/>
    <n v="0.13189999999999999"/>
    <n v="64.349999999999994"/>
    <n v="64.349999999999994"/>
    <n v="8647"/>
    <s v="包邮"/>
    <n v="4639"/>
    <n v="5.4000000000000003E-3"/>
    <n v="6659"/>
    <n v="5.8999999999999999E-3"/>
    <n v="428506.65"/>
    <n v="7.7999999999999996E-3"/>
    <n v="7576"/>
    <n v="57286"/>
    <n v="0.13220000000000001"/>
    <n v="6"/>
    <n v="552"/>
    <m/>
    <m/>
    <m/>
    <s v="7天无理由|蚂蚁花呗|信用卡支付|集分宝|如实描述"/>
    <x v="4"/>
    <s v="美茹衣橱"/>
    <d v="2014-08-18T09:29:04"/>
    <s v="5钻"/>
    <s v="4.7; 4.7; 4.6"/>
    <n v="2025"/>
    <s v="淘宝"/>
    <n v="0.98280000000000001"/>
    <s v="女装/女士精品 "/>
    <s v=" 连衣裙"/>
    <m/>
    <d v="2015-08-26T00:00:00"/>
    <d v="1899-12-30T18:03:13"/>
    <s v="2天23时53分27秒"/>
    <s v="三"/>
    <s v="http://item.taobao.com/item.htm?id=520817830644"/>
    <s v="http://item.kandianbao.com/520817830644/"/>
    <s v="两件套"/>
    <s v="51%(含)-70%(含)"/>
    <s v="A型"/>
    <s v="圆领"/>
    <s v="套头"/>
    <s v="灰色，粉红色，绿色"/>
    <s v="复古"/>
    <s v="S，M，L，XL，2XL"/>
    <s v="纯色"/>
    <x v="3"/>
    <s v="其他/other"/>
    <m/>
    <s v="其他"/>
    <s v="蝴蝶结，荷叶边，不对称，纽扣"/>
    <m/>
    <s v="大摆型"/>
    <s v="2015年夏季"/>
    <m/>
    <s v="常规"/>
    <m/>
    <s v="通勤"/>
    <m/>
    <s v="宽松腰"/>
    <s v="麻"/>
    <m/>
    <s v="25-29周岁"/>
    <s v="五分袖"/>
    <s v="质量不错(49) ; 衣衣很舒服(31) ; 物流快(23) ; 款式很好(16) ; 版型好看(15) ; 穿上好看(13) ; "/>
  </r>
  <r>
    <n v="98"/>
    <s v="第 3 页 第 6 位"/>
    <s v="韩国2015夏季女装新款气质修身显瘦棉麻连衣裙长款不规则一步裙夏"/>
    <s v="zsf0348"/>
    <n v="368"/>
    <n v="0.44280000000000003"/>
    <n v="162.96"/>
    <n v="162.96"/>
    <n v="11688"/>
    <s v="包邮"/>
    <n v="4615"/>
    <n v="5.4000000000000003E-3"/>
    <n v="4840"/>
    <n v="4.3E-3"/>
    <n v="788726.4"/>
    <n v="1.43E-2"/>
    <n v="73412"/>
    <n v="339045"/>
    <n v="0.2165"/>
    <n v="5"/>
    <n v="1538"/>
    <m/>
    <m/>
    <m/>
    <s v="7天无理由|信用卡支付|集分宝|支付宝支付|如实描述"/>
    <x v="0"/>
    <s v="zsf私人定制"/>
    <d v="2015-07-01T17:39:43"/>
    <s v="4钻"/>
    <s v="4.6; 4.7; 4.6"/>
    <n v="7838"/>
    <s v="淘宝"/>
    <n v="0.97670000000000001"/>
    <s v="女装/女士精品 "/>
    <s v=" 连衣裙"/>
    <m/>
    <d v="2015-08-27T00:00:00"/>
    <d v="1899-12-30T22:31:45"/>
    <s v="4天4时21分59秒"/>
    <s v="四"/>
    <s v="http://item.taobao.com/item.htm?id=520460332917"/>
    <s v="http://item.kandianbao.com/520460332917/"/>
    <s v="单件"/>
    <s v="71%(含)-80%(含)"/>
    <s v="A型"/>
    <s v="圆领"/>
    <s v="套头"/>
    <s v="姜黄色"/>
    <s v="韩版"/>
    <s v="现货，S，M，L，XL，2XL"/>
    <s v="纯色"/>
    <x v="3"/>
    <s v="其他/other"/>
    <m/>
    <s v="其他"/>
    <s v="口袋，纽扣"/>
    <s v="zsf0348"/>
    <s v="一步裙"/>
    <s v="2015年夏季"/>
    <m/>
    <s v="常规"/>
    <m/>
    <s v="通勤"/>
    <m/>
    <s v="松紧腰"/>
    <s v="麻"/>
    <m/>
    <m/>
    <s v="短袖"/>
    <s v="整体不错(20) ; 很舒服(18) ; 板型很好(13) ; 穿着美(11) ; 态度不错(8) ; 款式漂亮(7) ; "/>
  </r>
  <r>
    <n v="99"/>
    <s v="第 3 页 第 7 位"/>
    <s v="克拉恋人唐嫣明星同款2015夏装新款短袖修身宽松中长款连衣裙女潮"/>
    <m/>
    <n v="99.6"/>
    <n v="0.49"/>
    <n v="48.8"/>
    <n v="48.8"/>
    <n v="19298"/>
    <s v="包邮"/>
    <n v="4612"/>
    <n v="5.4000000000000003E-3"/>
    <n v="7630"/>
    <n v="6.7000000000000002E-3"/>
    <n v="372344"/>
    <n v="6.7000000000000002E-3"/>
    <n v="14992"/>
    <n v="24476"/>
    <n v="0.61250000000000004"/>
    <n v="2"/>
    <n v="1024"/>
    <m/>
    <m/>
    <m/>
    <s v="卖家承诺48小时内发货|7天无理由|集分宝|支付宝支付|如实描述"/>
    <x v="4"/>
    <s v="nani哈尼"/>
    <d v="2015-05-02T14:21:58"/>
    <s v="4钻"/>
    <s v="4.7; 4.7; 4.6"/>
    <n v="3133"/>
    <s v="淘宝"/>
    <n v="0.98860000000000003"/>
    <s v="女装/女士精品 "/>
    <s v=" 连衣裙"/>
    <m/>
    <d v="2015-08-28T00:00:00"/>
    <d v="1899-12-30T21:00:00"/>
    <s v="5天2时50分14秒"/>
    <s v="五"/>
    <s v="http://item.taobao.com/item.htm?id=520844995820"/>
    <s v="http://item.kandianbao.com/520844995820/"/>
    <s v="单件"/>
    <s v="81%(含)-90%(含)"/>
    <s v="A型"/>
    <s v="其他"/>
    <s v="拉链"/>
    <s v="图片色【优质版】"/>
    <m/>
    <s v="活动促销原价55.8，S，M，L，XL，2XL"/>
    <s v="花色"/>
    <x v="0"/>
    <s v="其他/other"/>
    <m/>
    <s v="其他"/>
    <s v="蝴蝶结，链条"/>
    <m/>
    <s v="A字裙"/>
    <s v="2015年夏季"/>
    <m/>
    <s v="常规"/>
    <m/>
    <s v="甜美"/>
    <s v="公主"/>
    <s v="宽松腰"/>
    <s v="棉"/>
    <m/>
    <s v="18-24周岁"/>
    <s v="短袖"/>
    <s v="质量好(35) ; 衣衣很舒服(16) ; 版式好(16) ; 和描述一致(16) ; 穿上好看(12) ; 服务不错(11) ; "/>
  </r>
  <r>
    <n v="100"/>
    <s v="第 3 页 第 8 位"/>
    <s v="雪纺连衣裙2015夏装大码女装裙子胖mm夏假两件遮肚子显瘦包臀短裙"/>
    <m/>
    <n v="135"/>
    <n v="0.24890000000000001"/>
    <n v="33.6"/>
    <n v="33.6"/>
    <n v="25326"/>
    <s v="包邮"/>
    <n v="4590"/>
    <n v="5.4000000000000003E-3"/>
    <n v="5524"/>
    <n v="4.8999999999999998E-3"/>
    <n v="185606.39999999999"/>
    <n v="3.3999999999999998E-3"/>
    <n v="11806"/>
    <n v="50331"/>
    <n v="0.2346"/>
    <n v="9"/>
    <n v="4095"/>
    <m/>
    <m/>
    <m/>
    <s v="卖家承诺24小时内发货|10天退货，退货邮费买家承担|蚂蚁花呗|信用卡支付|集分宝|如实描述"/>
    <x v="4"/>
    <s v="你是我d优乐美"/>
    <d v="2013-01-30T19:28:01"/>
    <s v="2冠"/>
    <s v="4.8; 4.7; 4.7"/>
    <n v="2113"/>
    <s v="淘宝"/>
    <n v="0.98499999999999999"/>
    <s v="女装/女士精品 "/>
    <s v=" 连衣裙"/>
    <m/>
    <d v="2015-08-26T00:00:00"/>
    <d v="1899-12-30T22:30:00"/>
    <s v="3天4时20分14秒"/>
    <s v="三"/>
    <s v="http://item.taobao.com/item.htm?id=45590179480"/>
    <s v="http://item.kandianbao.com/45590179480/"/>
    <s v="假两件"/>
    <s v="71%(含)-80%(含)"/>
    <m/>
    <s v="圆领"/>
    <s v="套头"/>
    <s v="黑色，粉红色"/>
    <s v="韩版"/>
    <s v="S，M，L，XL，2XL，3XL"/>
    <s v="纯色"/>
    <x v="2"/>
    <s v="背带"/>
    <m/>
    <s v="雪纺"/>
    <s v="蝴蝶结，露背，褶皱，系带，波浪"/>
    <m/>
    <s v="公主裙"/>
    <s v="2015年夏季"/>
    <m/>
    <s v="公主袖"/>
    <m/>
    <s v="通勤"/>
    <m/>
    <s v="高腰"/>
    <s v="其他"/>
    <m/>
    <m/>
    <s v="短袖"/>
    <s v="宝贝很赞(523) ; 穿上好看(498) ; 版型好看(440) ; 衣衣很舒服(322) ; 款式好看(148) ; 衣服很合身(146) ; "/>
  </r>
  <r>
    <n v="101"/>
    <s v="第 3 页 第 9 位"/>
    <s v="气质仙长裙两件套2015夏薄款棉麻连衣裙女夏天亚麻裙子中长款A字"/>
    <m/>
    <n v="160"/>
    <n v="0.35"/>
    <n v="56"/>
    <n v="56"/>
    <n v="18406"/>
    <s v="包邮"/>
    <n v="4582"/>
    <n v="5.4000000000000003E-3"/>
    <n v="5696"/>
    <n v="5.0000000000000001E-3"/>
    <n v="318976"/>
    <n v="5.7999999999999996E-3"/>
    <n v="5220"/>
    <n v="30721"/>
    <n v="0.1699"/>
    <n v="7"/>
    <n v="818"/>
    <m/>
    <m/>
    <m/>
    <s v="卖家承诺24小时内发货|8天退货，退货邮费买家承担|蚂蚁花呗|信用卡支付|集分宝|如实描述"/>
    <x v="0"/>
    <s v="蚊子女装商城批发"/>
    <d v="2013-12-01T01:10:46"/>
    <s v="5钻"/>
    <s v="4.6; 4.6; 4.5"/>
    <n v="1133"/>
    <s v="淘宝"/>
    <n v="0.91839999999999999"/>
    <s v="女装/女士精品 "/>
    <s v=" 连衣裙"/>
    <m/>
    <d v="2015-08-26T00:00:00"/>
    <d v="1899-12-30T21:00:00"/>
    <s v="3天2时50分14秒"/>
    <s v="三"/>
    <s v="http://item.taobao.com/item.htm?id=520678217643"/>
    <s v="http://item.kandianbao.com/520678217643/"/>
    <s v="两件套"/>
    <s v="51%(含)-70%(含)"/>
    <m/>
    <s v="圆领"/>
    <s v="套头"/>
    <s v="短袖蓝灰衫+白裙，短袖橘粉衫+白裙，短袖草绿衫+白裙，长袖蓝灰衫+白裙，长袖橘粉衫+白裙，长袖绿衫+白裙"/>
    <s v="韩版"/>
    <s v="M，L，XL，2XL"/>
    <s v="纯色"/>
    <x v="3"/>
    <s v="其他/other"/>
    <m/>
    <s v="其他"/>
    <s v="荷叶边，纽扣"/>
    <m/>
    <s v="A字裙"/>
    <s v="2015年夏季"/>
    <m/>
    <s v="常规"/>
    <m/>
    <s v="通勤"/>
    <m/>
    <s v="宽松腰"/>
    <s v="麻"/>
    <m/>
    <s v="25-29周岁"/>
    <s v="无袖"/>
    <s v="衣服很舒服(25) ; 整体不错(10) ; 式样好(10) ; 穿着效果好(9) ; 尺码很好(7) ; 划算(6) ; "/>
  </r>
  <r>
    <n v="102"/>
    <s v="第 3 页 第 10 位"/>
    <s v="2015韩版女装秋蕾丝连衣裙性感大码夜店露背吊带裙镂空公主裙夏女"/>
    <m/>
    <n v="198"/>
    <n v="0.49"/>
    <n v="97.02"/>
    <n v="97.02"/>
    <n v="2221"/>
    <s v="包邮"/>
    <n v="4565"/>
    <n v="5.3E-3"/>
    <n v="5311"/>
    <n v="4.7000000000000002E-3"/>
    <n v="515273.22"/>
    <n v="9.2999999999999992E-3"/>
    <n v="59170"/>
    <n v="66310"/>
    <n v="0.89229999999999998"/>
    <n v="3"/>
    <n v="1830"/>
    <m/>
    <m/>
    <m/>
    <s v="卖家承诺48小时内发货|8天退货，退货邮费买家承担|蚂蚁花呗|信用卡支付|集分宝|如实描述"/>
    <x v="4"/>
    <s v="小美女e店"/>
    <d v="2012-06-30T21:47:01"/>
    <s v="4冠"/>
    <s v="4.7; 4.7; 4.6"/>
    <n v="34461"/>
    <s v="淘宝"/>
    <n v="0.97189999999999999"/>
    <s v="女装/女士精品 "/>
    <s v=" 连衣裙"/>
    <m/>
    <d v="2015-08-24T00:00:00"/>
    <d v="1899-12-30T22:00:00"/>
    <s v="1天3时50分14秒"/>
    <s v="一"/>
    <s v="http://item.taobao.com/item.htm?id=520365996744"/>
    <s v="http://item.kandianbao.com/520365996744/"/>
    <s v="单件"/>
    <s v="71%(含)-80%(含)"/>
    <s v="A型"/>
    <s v="V领"/>
    <s v="套头"/>
    <s v="白色（高端正版），黑色（高端正版）"/>
    <m/>
    <s v="XS，S，M，L，XL"/>
    <s v="纯色"/>
    <x v="2"/>
    <s v="吊带"/>
    <m/>
    <s v="蕾丝"/>
    <s v="镂空，露背，勾花镂空，拼接，波浪，纱网，蕾丝"/>
    <m/>
    <s v="公主裙"/>
    <s v="2015年夏季"/>
    <m/>
    <s v="其他"/>
    <m/>
    <s v="街头"/>
    <m/>
    <s v="高腰"/>
    <m/>
    <s v="欧美"/>
    <s v="25-29周岁"/>
    <s v="无袖"/>
    <s v="版型好看(136) ; 质量不错(99) ; 穿上好看(44) ; 服务不错(31) ; 衣服很合身(26) ; 不舒适(35) ; "/>
  </r>
  <r>
    <n v="103"/>
    <s v="第 3 页 第 11 位"/>
    <s v="欧洲站2015夏季新款韩版时尚修身印花连衣裙欧根纱高腰圆领蓬蓬裙"/>
    <n v="888"/>
    <n v="598"/>
    <n v="0.20330000000000001"/>
    <n v="121.6"/>
    <n v="121.6"/>
    <n v="453"/>
    <s v="包邮"/>
    <n v="4472"/>
    <n v="5.1999999999999998E-3"/>
    <n v="3749"/>
    <n v="3.3E-3"/>
    <n v="455878.40000000002"/>
    <n v="8.3000000000000001E-3"/>
    <n v="27942"/>
    <n v="160253"/>
    <n v="0.1744"/>
    <n v="4"/>
    <n v="1237"/>
    <m/>
    <m/>
    <m/>
    <s v="7天无理由|蚂蚁花呗|信用卡支付|集分宝|如实描述"/>
    <x v="0"/>
    <s v="麦小小2013"/>
    <d v="2013-05-02T12:10:33"/>
    <s v="1冠"/>
    <s v="4.7; 4.7; 4.7"/>
    <n v="19211"/>
    <s v="淘宝"/>
    <n v="0.98599999999999999"/>
    <s v="女装/女士精品 "/>
    <s v=" 连衣裙"/>
    <m/>
    <d v="2015-08-30T00:00:00"/>
    <d v="1899-12-30T00:03:39"/>
    <s v="6天5时53分53秒"/>
    <s v="日"/>
    <s v="http://item.taobao.com/item.htm?id=520674767729"/>
    <s v="http://item.kandianbao.com/520674767729/"/>
    <s v="单件"/>
    <s v="51%(含)-70%(含)"/>
    <s v="A型"/>
    <s v="圆领"/>
    <s v="拉链"/>
    <s v="花色"/>
    <s v="韩版"/>
    <s v="码数略微偏小，请咨询客服尺码，现货发售，S，M，L，XL，2XL"/>
    <s v="花色"/>
    <x v="0"/>
    <m/>
    <m/>
    <s v="欧根纱"/>
    <s v="拼接，拉链，印花"/>
    <n v="888"/>
    <s v="A字裙"/>
    <s v="2015年夏季"/>
    <m/>
    <s v="公主袖"/>
    <m/>
    <s v="通勤"/>
    <m/>
    <s v="高腰"/>
    <s v="涤纶"/>
    <m/>
    <m/>
    <s v="无袖"/>
    <s v="质量蛮好(60) ; 外形好看(43) ; 穿着美(31) ; 码数很准(23) ; 很舒服(21) ; 做工很好(17) ; "/>
  </r>
  <r>
    <n v="104"/>
    <s v="第 3 页 第 12 位"/>
    <s v="韩版大码女装波西米亚沙滩吊带长裙子碎花松紧腰显瘦雪纺连衣裙夏"/>
    <m/>
    <n v="60"/>
    <n v="0.49170000000000003"/>
    <n v="29.5"/>
    <n v="29.5"/>
    <n v="51991"/>
    <s v="包邮"/>
    <n v="4462"/>
    <n v="5.1999999999999998E-3"/>
    <n v="4916"/>
    <n v="4.3E-3"/>
    <n v="145022"/>
    <n v="2.5999999999999999E-3"/>
    <n v="87454"/>
    <n v="258332"/>
    <n v="0.33850000000000002"/>
    <n v="18"/>
    <n v="16798"/>
    <m/>
    <m/>
    <m/>
    <s v="7天无理由|蚂蚁花呗|信用卡支付|集分宝|如实描述"/>
    <x v="4"/>
    <s v="雪儿韩衣坊"/>
    <d v="2015-05-04T20:34:26"/>
    <s v="3冠"/>
    <s v="4.7; 4.7; 4.7"/>
    <n v="21598"/>
    <s v="淘宝"/>
    <n v="0.9849"/>
    <s v="女装/女士精品 "/>
    <s v=" 连衣裙"/>
    <m/>
    <d v="2015-08-28T00:00:00"/>
    <d v="1899-12-30T20:40:00"/>
    <s v="5天2时30分14秒"/>
    <s v="五"/>
    <s v="http://item.taobao.com/item.htm?id=45596800752"/>
    <s v="http://item.kandianbao.com/45596800752/"/>
    <s v="单件"/>
    <s v="71%(含)-80%(含)"/>
    <m/>
    <s v="一字领"/>
    <s v="套头"/>
    <s v="白色，米白色，黑色，蓝色"/>
    <s v="韩版"/>
    <s v="M，L，XL"/>
    <s v="碎花"/>
    <x v="3"/>
    <s v="吊带"/>
    <m/>
    <s v="雪纺"/>
    <s v="拼接，印花"/>
    <m/>
    <s v="公主裙"/>
    <s v="2015年夏季"/>
    <m/>
    <s v="其他"/>
    <m/>
    <s v="通勤"/>
    <m/>
    <s v="中腰"/>
    <s v="其他"/>
    <m/>
    <m/>
    <s v="无袖"/>
    <s v="版型好看(3515) ; 质量不错(3196) ; 穿上好看(1486) ; 衣衣很舒服(1455) ; 衣服很合身(747) ; 质量一般(162) ; "/>
  </r>
  <r>
    <n v="105"/>
    <s v="第 3 页 第 13 位"/>
    <s v="欧根纱套装夏连衣裙韩版学生两件套裙子猫咪印花学院风蓬蓬裙短裙"/>
    <n v="858"/>
    <n v="118"/>
    <n v="0.495"/>
    <n v="58.41"/>
    <n v="58.41"/>
    <n v="35191"/>
    <s v="包邮"/>
    <n v="4454"/>
    <n v="5.1999999999999998E-3"/>
    <n v="6260"/>
    <n v="5.4999999999999997E-3"/>
    <n v="365646.6"/>
    <n v="6.6E-3"/>
    <n v="16174"/>
    <n v="26250"/>
    <n v="0.61619999999999997"/>
    <n v="12"/>
    <n v="871"/>
    <m/>
    <m/>
    <m/>
    <s v="卖家承诺48小时内发货|8天退货，退货邮费买家承担|蚂蚁花呗|信用卡支付|集分宝|如实描述"/>
    <x v="4"/>
    <s v="菠萝美衣"/>
    <d v="2013-10-08T14:11:26"/>
    <s v="4钻"/>
    <s v="4.8; 4.8; 4.7"/>
    <n v="1447"/>
    <s v="淘宝"/>
    <n v="0.98460000000000003"/>
    <s v="女装/女士精品 "/>
    <s v=" 连衣裙"/>
    <m/>
    <d v="2015-08-30T00:00:00"/>
    <d v="1899-12-30T15:30:31"/>
    <s v="6天21时20分45秒"/>
    <s v="日"/>
    <s v="http://item.taobao.com/item.htm?id=520686536946"/>
    <s v="http://item.kandianbao.com/520686536946/"/>
    <s v="两件套"/>
    <s v="51%(含)-70%(含)"/>
    <s v="A型"/>
    <s v="圆领"/>
    <s v="拉链"/>
    <s v="黑衣+白裙，白衣+黑裙，白衣+白裙，黑衣+黑裙"/>
    <s v="韩版"/>
    <s v="XS【限量加小码】，S【精致刺绣】，M【高档面料】，L【全国包邮】，XL【质量保证】，XXL【支持退换】"/>
    <s v="动物图案"/>
    <x v="2"/>
    <s v="其他/other"/>
    <m/>
    <s v="欧根纱"/>
    <s v="贴布，拼接，立体装饰，纱网，拉链，3D，印花"/>
    <n v="858"/>
    <s v="A字裙"/>
    <s v="2015年夏季"/>
    <m/>
    <s v="常规"/>
    <s v="MS"/>
    <s v="通勤"/>
    <m/>
    <s v="高腰"/>
    <s v="棉"/>
    <m/>
    <s v="18-24周岁"/>
    <s v="短袖"/>
    <s v="质量不错(29) ; 穿着漂亮(18) ; 版式好(16) ; 很舒适(14) ; 便宜(11) ; 尺码很准(11) ; "/>
  </r>
  <r>
    <n v="106"/>
    <s v="第 3 页 第 14 位"/>
    <s v="夏人造棉印花碎花棉绸波西米亚沙滩裙度假裙长裙无袖背心裙连衣裙"/>
    <m/>
    <n v="128"/>
    <n v="0.218"/>
    <n v="27.9"/>
    <n v="27.9"/>
    <n v="4758"/>
    <s v="包邮"/>
    <n v="4453"/>
    <n v="5.1999999999999998E-3"/>
    <n v="6685"/>
    <n v="5.8999999999999999E-3"/>
    <n v="186511.5"/>
    <n v="3.3999999999999998E-3"/>
    <n v="19766"/>
    <n v="116755"/>
    <n v="0.16930000000000001"/>
    <n v="6"/>
    <n v="6130"/>
    <m/>
    <m/>
    <m/>
    <s v="7天无理由|集分宝|支付宝支付|如实描述"/>
    <x v="4"/>
    <s v="纯净的心情"/>
    <d v="2008-10-20T21:03:33"/>
    <s v="3冠"/>
    <s v="4.8; 4.8; 4.7"/>
    <n v="7809"/>
    <s v="淘宝"/>
    <n v="0.96760000000000002"/>
    <s v="女装/女士精品 "/>
    <s v=" 连衣裙"/>
    <m/>
    <d v="2015-08-27T00:00:00"/>
    <d v="1899-12-30T21:18:20"/>
    <s v="4天3时8分34秒"/>
    <s v="四"/>
    <s v="http://item.taobao.com/item.htm?id=45371026699"/>
    <s v="http://item.kandianbao.com/45371026699/"/>
    <s v="单件"/>
    <m/>
    <m/>
    <s v="圆领"/>
    <m/>
    <s v="竖条纹，圈圈蓝，蓝图腾，蓝底小碎花，方块绿，黄底圆圈，蓝底菱波，米底宝藏，米底花花，清新绿，珠珠条，猫咪，渔网黑，灰灰条，橘色花，彩虹条，方块灰，渔网白，脸谱，粉底宝藏，蓝花条"/>
    <s v="韩版"/>
    <s v="均码"/>
    <s v="花色"/>
    <x v="3"/>
    <m/>
    <m/>
    <m/>
    <m/>
    <m/>
    <m/>
    <s v="2015年夏季"/>
    <m/>
    <m/>
    <m/>
    <s v="通勤"/>
    <m/>
    <s v="高腰"/>
    <m/>
    <m/>
    <m/>
    <s v="无袖"/>
    <s v="衣服很舒服(1235) ; 衣服不错(801) ; 版型漂亮(651) ; 穿着效果好(536) ; 布料好(315) ; 颜色不行(87) ; "/>
  </r>
  <r>
    <n v="107"/>
    <s v="第 3 页 第 15 位"/>
    <s v="2015夏季新款 简约百搭白色磨破牛仔背带裙 连衣裙吊带裙女学生潮"/>
    <m/>
    <n v="35.799999999999997"/>
    <n v="1"/>
    <n v="35.799999999999997"/>
    <n v="35.799999999999997"/>
    <n v="3033"/>
    <s v="包邮"/>
    <n v="4402"/>
    <n v="5.1000000000000004E-3"/>
    <n v="5400"/>
    <n v="4.7999999999999996E-3"/>
    <n v="193320"/>
    <n v="3.5000000000000001E-3"/>
    <n v="25190"/>
    <n v="40122"/>
    <n v="0.62780000000000002"/>
    <n v="3"/>
    <n v="3151"/>
    <m/>
    <m/>
    <m/>
    <s v="7天无理由|蚂蚁花呗|信用卡支付|集分宝|如实描述"/>
    <x v="4"/>
    <s v="当学会"/>
    <d v="2013-03-12T22:24:53"/>
    <s v="2金冠"/>
    <s v="4.7; 4.7; 4.6"/>
    <n v="1118893"/>
    <s v="淘宝"/>
    <n v="0.9819"/>
    <s v="女装/女士精品 "/>
    <s v=" 连衣裙"/>
    <m/>
    <d v="2015-08-28T00:00:00"/>
    <d v="1899-12-30T20:44:22"/>
    <s v="5天2时34分36秒"/>
    <s v="五"/>
    <s v="http://item.taobao.com/item.htm?id=45327332310"/>
    <s v="http://item.kandianbao.com/45327332310/"/>
    <s v="单件"/>
    <s v="30%及以下"/>
    <m/>
    <m/>
    <m/>
    <s v="白色"/>
    <s v="简约"/>
    <s v="S，M，L"/>
    <s v="纯色"/>
    <x v="2"/>
    <s v="背带"/>
    <m/>
    <s v="牛仔布"/>
    <s v="破洞，手工磨破，口袋，背带，纽扣"/>
    <m/>
    <s v="一步裙"/>
    <s v="2015年夏季"/>
    <m/>
    <m/>
    <m/>
    <s v="通勤"/>
    <m/>
    <s v="宽松腰"/>
    <s v="棉"/>
    <m/>
    <s v="18-24周岁"/>
    <m/>
    <s v="质量不错(546) ; 版型好(280) ; 穿着漂亮(159) ; 料子不错(93) ; 尺寸很准(89) ; 尺码不对(61) ; "/>
  </r>
  <r>
    <n v="108"/>
    <s v="第 3 页 第 16 位"/>
    <s v="韩国镂空马甲外套套装+镂空纯色连衣裙宽松套头短裙女两件套TZ272"/>
    <s v="TZ272"/>
    <n v="256"/>
    <n v="0.495"/>
    <n v="126.72"/>
    <n v="126.72"/>
    <n v="374"/>
    <s v="包邮"/>
    <n v="4380"/>
    <n v="5.1000000000000004E-3"/>
    <n v="6775"/>
    <n v="6.0000000000000001E-3"/>
    <n v="858528"/>
    <n v="1.55E-2"/>
    <n v="70284"/>
    <n v="106270"/>
    <n v="0.66139999999999999"/>
    <n v="1"/>
    <n v="394"/>
    <m/>
    <m/>
    <m/>
    <s v="卖家承诺12天内发货|7天无理由|蚂蚁花呗|信用卡支付|集分宝|如实描述"/>
    <x v="0"/>
    <s v="女人顶顶大"/>
    <d v="2007-06-15T13:25:37"/>
    <s v="2金冠"/>
    <s v="4.6; 4.7; 4.7"/>
    <n v="2664091"/>
    <s v="淘宝"/>
    <n v="0.98970000000000002"/>
    <s v="女装/女士精品 "/>
    <s v=" 连衣裙"/>
    <m/>
    <d v="2015-08-27T00:00:00"/>
    <d v="1899-12-30T10:09:39"/>
    <s v="3天15时59分53秒"/>
    <s v="四"/>
    <s v="http://item.taobao.com/item.htm?id=520730131791"/>
    <s v="http://item.kandianbao.com/520730131791/"/>
    <s v="两件套"/>
    <s v="31%(含)-50%(含)"/>
    <s v="A型"/>
    <s v="V领"/>
    <s v="套头"/>
    <s v="白色"/>
    <s v="韩版"/>
    <s v="S，M"/>
    <s v="纯色"/>
    <x v="2"/>
    <s v="其他/other"/>
    <m/>
    <s v="其他"/>
    <s v="镂空"/>
    <s v="TZ272"/>
    <s v="A字裙"/>
    <s v="2015年夏季"/>
    <m/>
    <s v="常规"/>
    <m/>
    <s v="通勤"/>
    <m/>
    <s v="宽松腰"/>
    <s v="棉"/>
    <m/>
    <s v="18-24周岁"/>
    <s v="五分袖"/>
    <s v="穿着效果好(15) ; 整体不错(13) ; 衣服很舒服(13) ; 服务态度好(11) ; 做工很赞(10) ; 版式好(9) ; "/>
  </r>
  <r>
    <n v="109"/>
    <s v="第 3 页 第 17 位"/>
    <s v="欧洲站2015夏季女装真丝开衫两件套连衣裙波西米亚碎花吊带沙滩裙"/>
    <s v="99HU0713"/>
    <n v="356"/>
    <n v="0.495"/>
    <n v="176.22"/>
    <n v="176.22"/>
    <n v="10560"/>
    <s v="包邮"/>
    <n v="4348"/>
    <n v="5.1000000000000004E-3"/>
    <n v="6303"/>
    <n v="5.5999999999999999E-3"/>
    <n v="1110714.6599999999"/>
    <n v="2.01E-2"/>
    <n v="25108"/>
    <n v="183704"/>
    <n v="0.13669999999999999"/>
    <n v="11"/>
    <n v="33"/>
    <m/>
    <m/>
    <m/>
    <s v="7天无理由|蚂蚁花呗|集分宝|支付宝支付|如实描述"/>
    <x v="0"/>
    <s v="玖玖狐"/>
    <d v="2014-12-28T21:18:19"/>
    <s v="2冠"/>
    <s v="4.7; 4.8; 4.7"/>
    <n v="34747"/>
    <s v="淘宝"/>
    <n v="0.99060000000000004"/>
    <s v="女装/女士精品 "/>
    <s v=" 连衣裙"/>
    <m/>
    <d v="2015-08-24T00:00:00"/>
    <d v="1899-12-30T09:15:00"/>
    <d v="1899-12-30T15:05:14"/>
    <s v="一"/>
    <s v="http://item.taobao.com/item.htm?id=520624998800"/>
    <s v="http://item.kandianbao.com/520624998800/"/>
    <s v="两件套"/>
    <s v="51%(含)-70%(含)"/>
    <s v="A型"/>
    <s v="其他"/>
    <s v="套头"/>
    <s v="红色，绿色"/>
    <m/>
    <s v="S【度假必备】，M【独家设计】，L【高端定制】，XL【显瘦神器】，XXL【拒绝撞衫】，【定制10天发货】"/>
    <s v="碎花"/>
    <x v="3"/>
    <s v="吊带"/>
    <m/>
    <s v="雪纺"/>
    <s v="褶皱，不对称，印花"/>
    <s v="99HU0713"/>
    <s v="大摆型"/>
    <s v="2015年夏季"/>
    <m/>
    <s v="常规"/>
    <s v="玖玖狐"/>
    <s v="甜美"/>
    <s v="波西米亚"/>
    <s v="宽松腰"/>
    <s v="蚕丝"/>
    <m/>
    <m/>
    <s v="无袖"/>
    <s v="质量好(14) ; 衣衣很舒服(12) ; 外形好看(11) ; 穿上好看(8) ; 做工好(8) ; 没有色差(7) ; "/>
  </r>
  <r>
    <n v="110"/>
    <s v="第 3 页 第 18 位"/>
    <s v="【清仓】欧洲站波西米亚碎花绵绸长裙连衣裙人造棉无袖圆领大摆裙"/>
    <m/>
    <n v="199"/>
    <n v="0.1764"/>
    <n v="35.11"/>
    <n v="35.11"/>
    <n v="10630"/>
    <s v="包邮"/>
    <n v="4340"/>
    <n v="5.1000000000000004E-3"/>
    <n v="6812"/>
    <n v="6.0000000000000001E-3"/>
    <n v="239169.32"/>
    <n v="4.3E-3"/>
    <n v="18448"/>
    <n v="105590"/>
    <n v="0.17469999999999999"/>
    <n v="45"/>
    <n v="451"/>
    <m/>
    <m/>
    <m/>
    <s v="卖家承诺24小时内发货|7天无理由|蚂蚁花呗|信用卡支付|集分宝|如实描述"/>
    <x v="4"/>
    <s v="claudia19911224"/>
    <d v="2013-02-23T22:05:11"/>
    <s v="3冠"/>
    <s v="4.8; 4.8; 4.8"/>
    <n v="23300"/>
    <s v="淘宝"/>
    <n v="0.97489999999999999"/>
    <s v="女装/女士精品 "/>
    <s v=" 连衣裙"/>
    <m/>
    <d v="2015-08-25T00:00:00"/>
    <d v="1899-12-30T22:15:52"/>
    <s v="2天4时6分6秒"/>
    <s v="二"/>
    <s v="http://item.taobao.com/item.htm?id=40025951298"/>
    <s v="http://item.kandianbao.com/40025951298/"/>
    <s v="单件"/>
    <s v="91%(含)-95%(含)"/>
    <s v="H型"/>
    <s v="圆领"/>
    <s v="套头"/>
    <s v="图片色，收藏宝贝好评即刻返现"/>
    <m/>
    <s v="S，M，L，XL，XXL，XXXL"/>
    <s v="花色"/>
    <x v="3"/>
    <s v="其他/other"/>
    <m/>
    <s v="府绸"/>
    <s v="松紧带，蝴蝶结，印花"/>
    <m/>
    <s v="大摆型"/>
    <s v="2015年夏季"/>
    <m/>
    <s v="其他"/>
    <m/>
    <s v="甜美"/>
    <s v="波西米亚"/>
    <s v="高腰"/>
    <s v="棉"/>
    <m/>
    <s v="18-24周岁"/>
    <s v="无袖"/>
    <s v="质量不错(62) ; 很舒适(46) ; 穿着漂亮(35) ; 外形好看(33) ; 划算(21) ; 做工不错(20) ; "/>
  </r>
  <r>
    <n v="111"/>
    <s v="第 3 页 第 19 位"/>
    <s v="2015夏装新款棉麻连衣裙套装森女宽松大码文艺两件套长裙亚麻女装"/>
    <m/>
    <n v="139"/>
    <n v="0.34899999999999998"/>
    <n v="48.51"/>
    <n v="48.51"/>
    <n v="47950"/>
    <s v="包邮"/>
    <n v="4320"/>
    <n v="5.0000000000000001E-3"/>
    <n v="5095"/>
    <n v="4.4999999999999997E-3"/>
    <n v="247158.45"/>
    <n v="4.4999999999999997E-3"/>
    <n v="8278"/>
    <n v="21967"/>
    <n v="0.37680000000000002"/>
    <n v="0"/>
    <n v="1241"/>
    <m/>
    <m/>
    <m/>
    <s v="7天无理由|蚂蚁花呗|集分宝|支付宝支付|如实描述"/>
    <x v="4"/>
    <s v="会笑的眼睛lalala"/>
    <d v="2015-04-19T11:17:55"/>
    <s v="3钻"/>
    <s v="4.6; 4.6; 4.5"/>
    <n v="904"/>
    <s v="淘宝"/>
    <n v="0.92320000000000002"/>
    <s v="女装/女士精品 "/>
    <s v=" 连衣裙"/>
    <m/>
    <d v="2015-08-27T00:00:00"/>
    <d v="1899-12-30T16:23:10"/>
    <s v="3天22时13分24秒"/>
    <s v="四"/>
    <s v="http://item.taobao.com/item.htm?id=520696402934"/>
    <s v="http://item.kandianbao.com/520696402934/"/>
    <s v="两件套"/>
    <s v="95%以上"/>
    <m/>
    <s v="圆领"/>
    <s v="套头"/>
    <s v="绣红背心+藏青裙，藏青背心+绣红裙，白背心+藏青裙，白背心+墨绿裙"/>
    <m/>
    <s v="均码，S，M，L，XL，2XL"/>
    <s v="纯色"/>
    <x v="3"/>
    <s v="吊带"/>
    <m/>
    <s v="其他"/>
    <s v="燕尾"/>
    <m/>
    <s v="A字裙"/>
    <s v="2015年夏季"/>
    <m/>
    <s v="常规"/>
    <m/>
    <s v="甜美"/>
    <s v="森女"/>
    <s v="松紧腰"/>
    <s v="麻"/>
    <m/>
    <s v="25-29周岁"/>
    <s v="无袖"/>
    <s v="很便宜(42) ; 很舒适(41) ; 质量好(35) ; 料子不错(23) ; 版型好(20) ; 穿着漂亮(17) ; "/>
  </r>
  <r>
    <n v="112"/>
    <s v="第 3 页 第 20 位"/>
    <s v="明星同款2015秋装新款 欧美大牌气质挂脖孔雀翎毛打底连衣裙A字裙"/>
    <m/>
    <n v="317"/>
    <n v="0.18609999999999999"/>
    <n v="59"/>
    <n v="59"/>
    <n v="4050"/>
    <s v="包邮"/>
    <n v="4284"/>
    <n v="5.0000000000000001E-3"/>
    <n v="5021"/>
    <n v="4.4000000000000003E-3"/>
    <n v="296239"/>
    <n v="5.4000000000000003E-3"/>
    <n v="48974"/>
    <n v="25336"/>
    <n v="1.9330000000000001"/>
    <n v="4"/>
    <n v="1620"/>
    <m/>
    <m/>
    <m/>
    <s v="卖家承诺48小时内发货|7天无理由|蚂蚁花呗|信用卡支付|集分宝|如实描述"/>
    <x v="4"/>
    <s v="ww后会无期"/>
    <d v="2014-08-10T17:13:04"/>
    <s v="5钻"/>
    <s v="4.7; 4.7; 4.6"/>
    <n v="9612"/>
    <s v="淘宝"/>
    <n v="0.95589999999999997"/>
    <s v="女装/女士精品 "/>
    <s v=" 连衣裙"/>
    <m/>
    <d v="2015-08-23T00:00:00"/>
    <d v="1899-12-30T20:25:00"/>
    <d v="1899-12-30T02:15:14"/>
    <s v="日"/>
    <s v="http://item.taobao.com/item.htm?id=520209455059"/>
    <s v="http://item.kandianbao.com/520209455059/"/>
    <s v="单件"/>
    <s v="51%(含)-70%(含)"/>
    <s v="A型"/>
    <s v="圆领"/>
    <s v="套头"/>
    <s v="图色"/>
    <m/>
    <s v="均码"/>
    <s v="其他"/>
    <x v="2"/>
    <s v="挂脖式"/>
    <m/>
    <s v="织锦"/>
    <s v="蝴蝶结，荷叶边，铆钉，植绒，流苏，破洞，镂空，抽褶，肩章，亮丝，镶钻，露背，油漆喷溅，手工磨破，贴布，绣花，链条，褶皱，木耳，勾花镂空，口袋，系带，拼接，螺纹，扎花，立体装饰，不对称，绑带，扎染，钉珠，波浪，做旧，亮片，背带，纽扣，纱网，拉链，乱针修补，锈斑处理，树脂固色，蕾丝，燕尾，3D，印花"/>
    <m/>
    <s v="大摆型"/>
    <s v="2015年夏季"/>
    <m/>
    <m/>
    <m/>
    <s v="街头"/>
    <m/>
    <s v="宽松腰"/>
    <s v="其他"/>
    <s v="欧美"/>
    <m/>
    <s v="无袖"/>
    <s v="衣服不错(72) ; 板型很好(60) ; 穿着效果好(31) ; 快递不错(22) ; 人群(20) ; 跟描述一致(19) ; "/>
  </r>
  <r>
    <n v="113"/>
    <s v="第 3 页 第 21 位"/>
    <s v="夏季甜美网纱裤裙+一字领蕾丝钉珠短袖上衣 女装两件套连衣裙套装"/>
    <m/>
    <n v="108"/>
    <n v="0.41670000000000001"/>
    <n v="45"/>
    <n v="45"/>
    <n v="22702"/>
    <s v="包邮"/>
    <n v="4245"/>
    <n v="5.0000000000000001E-3"/>
    <n v="4876"/>
    <n v="4.3E-3"/>
    <n v="219420"/>
    <n v="4.0000000000000001E-3"/>
    <n v="28018"/>
    <n v="59328"/>
    <n v="0.4723"/>
    <n v="1"/>
    <n v="2460"/>
    <m/>
    <m/>
    <m/>
    <s v="7天无理由|蚂蚁花呗|信用卡支付|集分宝|如实描述"/>
    <x v="4"/>
    <s v="咿呀呀韩装店"/>
    <d v="2012-10-01T02:54:59"/>
    <s v="2冠"/>
    <s v="4.7; 4.7; 4.6"/>
    <n v="5254"/>
    <s v="淘宝"/>
    <n v="0.97619999999999996"/>
    <s v="女装/女士精品 "/>
    <s v=" 连衣裙"/>
    <m/>
    <d v="2015-08-24T00:00:00"/>
    <d v="1899-12-30T23:15:00"/>
    <s v="1天5时5分14秒"/>
    <s v="一"/>
    <s v="http://item.taobao.com/item.htm?id=45876465104"/>
    <s v="http://item.kandianbao.com/45876465104/"/>
    <s v="两件套"/>
    <m/>
    <s v="A型"/>
    <s v="一字领"/>
    <s v="套头"/>
    <s v="黑上衣，白上衣+黑裙，黑上衣+白裙，白上衣，黑上衣+黑裙，白上衣+白裙，白短裙，黑短裙"/>
    <m/>
    <s v="S，M，L，XL"/>
    <s v="纯色"/>
    <x v="0"/>
    <m/>
    <m/>
    <m/>
    <m/>
    <m/>
    <s v="公主裙"/>
    <s v="2015年夏季"/>
    <m/>
    <s v="常规"/>
    <m/>
    <s v="通勤"/>
    <m/>
    <s v="中腰"/>
    <m/>
    <m/>
    <m/>
    <s v="短袖"/>
    <s v="版型好(322) ; 质量好(297) ; 穿上好看(127) ; 很便宜(103) ; 尺寸很准(56) ; 码数不合(26) ; "/>
  </r>
  <r>
    <n v="114"/>
    <s v="第 3 页 第 22 位"/>
    <s v="小黑裙2015夏季新款韩版修身显瘦无袖背心短裙雪纺A字连衣裙女装"/>
    <s v="D1598"/>
    <n v="399"/>
    <n v="0.28570000000000001"/>
    <n v="114"/>
    <n v="114"/>
    <n v="8156"/>
    <s v="包邮"/>
    <n v="4230"/>
    <n v="4.8999999999999998E-3"/>
    <n v="5465"/>
    <n v="4.7999999999999996E-3"/>
    <n v="623010"/>
    <n v="1.1299999999999999E-2"/>
    <n v="131398"/>
    <s v="-"/>
    <s v="-"/>
    <n v="128"/>
    <n v="12712"/>
    <m/>
    <m/>
    <m/>
    <m/>
    <x v="0"/>
    <s v="靓雪蒂旗舰店"/>
    <d v="2014-10-08T14:54:15"/>
    <s v="2冠"/>
    <s v="4.8; 4.8; 4.9"/>
    <n v="31368"/>
    <s v="天猫"/>
    <n v="1"/>
    <s v="女装/女士精品 "/>
    <s v=" 连衣裙"/>
    <m/>
    <d v="2015-08-25T00:00:00"/>
    <d v="1899-12-30T21:00:18"/>
    <s v="2天2时50分32秒"/>
    <s v="二"/>
    <s v="http://item.taobao.com/item.htm?id=43567408687"/>
    <s v="http://item.kandianbao.com/43567408687/"/>
    <s v="单件"/>
    <m/>
    <s v="A型"/>
    <s v="圆领"/>
    <s v="套头"/>
    <s v="白色，粉色，大红，薄荷绿，宝蓝，黑色"/>
    <s v="韩版"/>
    <s v="S，M，L，XL，XXL，XS"/>
    <s v="纯色"/>
    <x v="2"/>
    <s v="背带"/>
    <s v="纯电商(只在线上销售)"/>
    <s v="雪纺"/>
    <s v="褶皱，立体装饰，拉链"/>
    <s v="D1598"/>
    <s v="A字裙"/>
    <s v="2015年夏季"/>
    <m/>
    <s v="常规"/>
    <s v="靓雪蒂"/>
    <s v="通勤"/>
    <m/>
    <s v="中腰"/>
    <m/>
    <m/>
    <s v="25-29周岁"/>
    <s v="无袖"/>
    <s v="衣服不错(3047) ; 穿着效果好(3011) ; 版型漂亮(2519) ; 大小合适(1768) ; 衣服很舒服(1411) ; 质量不行(124) ; "/>
  </r>
  <r>
    <n v="115"/>
    <s v="第 3 页 第 23 位"/>
    <s v="欧洲站2015夏季女装新款真丝印花短袖套装裙两件套短裙连衣裙女潮"/>
    <m/>
    <n v="238"/>
    <n v="0.69179999999999997"/>
    <n v="164.64"/>
    <n v="164.64"/>
    <n v="245076"/>
    <s v="包邮"/>
    <n v="4213"/>
    <n v="4.8999999999999998E-3"/>
    <n v="4404"/>
    <n v="3.8999999999999998E-3"/>
    <n v="725074.56"/>
    <n v="1.3100000000000001E-2"/>
    <n v="49052"/>
    <n v="274568"/>
    <n v="0.1787"/>
    <n v="11"/>
    <n v="2983"/>
    <m/>
    <m/>
    <m/>
    <s v="卖家承诺30天内发货|7天无理由|蚂蚁花呗|信用卡支付|集分宝|如实描述"/>
    <x v="0"/>
    <s v="拜金女_vip"/>
    <d v="2010-10-25T03:44:16"/>
    <s v="2冠"/>
    <s v="4.7; 4.8; 4.7"/>
    <n v="35241"/>
    <s v="淘宝"/>
    <n v="0.98860000000000003"/>
    <s v="女装/女士精品 "/>
    <s v=" 连衣裙"/>
    <m/>
    <d v="2015-08-23T00:00:00"/>
    <d v="1899-12-30T18:12:40"/>
    <s v="2分54秒"/>
    <s v="日"/>
    <s v="http://item.taobao.com/item.htm?id=520214039677"/>
    <s v="http://item.kandianbao.com/520214039677/"/>
    <s v="两件套"/>
    <s v="91%(含)-95%(含)"/>
    <s v="A型"/>
    <s v="圆领"/>
    <s v="拉链"/>
    <s v="真丝印花（套装）"/>
    <m/>
    <s v="S，M，L，XL，2XL"/>
    <s v="花色"/>
    <x v="2"/>
    <s v="其他/other"/>
    <m/>
    <s v="绸缎"/>
    <s v="拼接，拉链，印花"/>
    <m/>
    <s v="公主裙"/>
    <s v="2015年夏季"/>
    <m/>
    <s v="常规"/>
    <m/>
    <s v="甜美"/>
    <s v="公主"/>
    <s v="高腰"/>
    <m/>
    <m/>
    <m/>
    <s v="短袖"/>
    <s v="衣服不错(82) ; 式样好(62) ; 很舒服(41) ; 穿着美(33) ; 尺码很好(28) ; 如实描述(27) ; "/>
  </r>
  <r>
    <n v="116"/>
    <s v="第 3 页 第 24 位"/>
    <s v="2015夏季新款韩版甜美无袖字母印花T恤百搭时髦中长款A字型连衣裙"/>
    <s v="W"/>
    <n v="24.98"/>
    <n v="0.91190000000000004"/>
    <n v="22.78"/>
    <n v="22.78"/>
    <n v="33994"/>
    <s v="包邮"/>
    <n v="4211"/>
    <n v="4.8999999999999998E-3"/>
    <n v="4965"/>
    <n v="4.4000000000000003E-3"/>
    <n v="113102.7"/>
    <n v="2E-3"/>
    <n v="14398"/>
    <n v="18784"/>
    <n v="0.76649999999999996"/>
    <n v="0"/>
    <n v="1109"/>
    <m/>
    <m/>
    <m/>
    <s v="7天无理由|蚂蚁花呗|信用卡支付|集分宝|如实描述"/>
    <x v="4"/>
    <s v="tb588405_2012"/>
    <d v="2012-09-17T22:39:17"/>
    <s v="4金冠"/>
    <s v="4.6; 4.7; 4.6"/>
    <n v="2155320"/>
    <s v="淘宝"/>
    <n v="0.97450000000000003"/>
    <s v="女装/女士精品 "/>
    <s v=" 连衣裙"/>
    <m/>
    <d v="2015-08-27T00:00:00"/>
    <d v="1899-12-30T20:01:12"/>
    <s v="4天1时51分26秒"/>
    <s v="四"/>
    <s v="http://item.taobao.com/item.htm?id=520667405477"/>
    <s v="http://item.kandianbao.com/520667405477/"/>
    <s v="单件"/>
    <s v="30%及以下"/>
    <s v="A型"/>
    <s v="圆领"/>
    <s v="套头"/>
    <s v="黑色，粉红色"/>
    <s v="韩版"/>
    <s v="均码"/>
    <s v="字母"/>
    <x v="1"/>
    <m/>
    <m/>
    <s v="其他"/>
    <s v="印花"/>
    <s v="W"/>
    <s v="A字裙"/>
    <s v="2015年夏季"/>
    <m/>
    <m/>
    <m/>
    <s v="通勤"/>
    <m/>
    <s v="宽松腰"/>
    <m/>
    <m/>
    <s v="18-24周岁"/>
    <s v="无袖"/>
    <s v="质量蛮好(45) ; 版式好(30) ; 很舒服(22) ; 很划算(22) ; 如实描述(15) ; 穿着美(14) ; "/>
  </r>
  <r>
    <n v="117"/>
    <s v="第 3 页 第 25 位"/>
    <s v="2015夏装新款显瘦牛仔连衣裙背带裙女夏季潮学生牛仔吊带背心短裙"/>
    <n v="3552"/>
    <n v="208"/>
    <n v="0.1192"/>
    <n v="24.8"/>
    <n v="24.8"/>
    <n v="22979"/>
    <s v="包邮"/>
    <n v="4199"/>
    <n v="4.8999999999999998E-3"/>
    <n v="4802"/>
    <n v="4.1999999999999997E-3"/>
    <n v="119089.60000000001"/>
    <n v="2.2000000000000001E-3"/>
    <n v="55570"/>
    <s v="-"/>
    <s v="-"/>
    <n v="3"/>
    <n v="10479"/>
    <m/>
    <s v="满148元，省5元|满248元，省10元|满348元，省20元"/>
    <m/>
    <m/>
    <x v="4"/>
    <s v="芊姿铭旗舰店"/>
    <d v="2014-09-05T16:59:03"/>
    <s v="3冠"/>
    <s v="4.6; 4.7; 4.8"/>
    <n v="9395"/>
    <s v="天猫"/>
    <n v="1"/>
    <s v="女装/女士精品 "/>
    <s v=" 连衣裙"/>
    <m/>
    <d v="2015-08-28T00:00:00"/>
    <d v="1899-12-30T09:17:45"/>
    <s v="4天15时7分59秒"/>
    <s v="五"/>
    <s v="http://item.taobao.com/item.htm?id=45244540252"/>
    <s v="http://item.kandianbao.com/45244540252/"/>
    <s v="单件"/>
    <m/>
    <s v="H型"/>
    <s v="其他"/>
    <s v="其他"/>
    <s v="深蓝色"/>
    <m/>
    <s v="XS，S，M，L，XL"/>
    <s v="其他"/>
    <x v="2"/>
    <s v="背带"/>
    <m/>
    <s v="其他"/>
    <s v="背带，纽扣"/>
    <n v="3552"/>
    <s v="其他"/>
    <s v="2015年夏季"/>
    <m/>
    <s v="其他"/>
    <s v="芊姿铭"/>
    <s v="甜美"/>
    <s v="森女"/>
    <s v="宽松腰"/>
    <m/>
    <m/>
    <s v="18-24周岁"/>
    <s v="无袖"/>
    <s v="宝贝很赞(1630) ; 版式好(1052) ; 穿上好看(767) ; 尺码很准(439) ; 衣衣很舒服(390) ; 颜色不行(259) ; "/>
  </r>
  <r>
    <n v="118"/>
    <s v="第 3 页 第 26 位"/>
    <s v="2015夏装新款女装碎花套装裙 欧洲站印花休闲两件套套装连衣裙女"/>
    <m/>
    <n v="118"/>
    <n v="0.32200000000000001"/>
    <n v="38"/>
    <n v="38"/>
    <n v="6882"/>
    <s v="包邮"/>
    <n v="4179"/>
    <n v="4.8999999999999998E-3"/>
    <n v="4702"/>
    <n v="4.1000000000000003E-3"/>
    <n v="178676"/>
    <n v="3.2000000000000002E-3"/>
    <n v="26098"/>
    <n v="154966"/>
    <n v="0.16839999999999999"/>
    <n v="16"/>
    <n v="3091"/>
    <m/>
    <m/>
    <m/>
    <s v="卖家承诺72小时内发货|8天退货，退货邮费买家承担|蚂蚁花呗|信用卡支付|集分宝|如实描述"/>
    <x v="4"/>
    <s v="wanwalkerman"/>
    <d v="2012-07-22T11:34:23"/>
    <s v="5冠"/>
    <s v="4.7; 4.7; 4.6"/>
    <n v="139674"/>
    <s v="淘宝"/>
    <n v="0.9849"/>
    <s v="女装/女士精品 "/>
    <s v=" 连衣裙"/>
    <m/>
    <d v="2015-08-29T00:00:00"/>
    <d v="1899-12-30T21:50:29"/>
    <s v="6天3时40分42秒"/>
    <s v="六"/>
    <s v="http://item.taobao.com/item.htm?id=520318555660"/>
    <s v="http://item.kandianbao.com/520318555660/"/>
    <s v="两件套"/>
    <m/>
    <m/>
    <s v="圆领"/>
    <s v="其他"/>
    <s v="白色（一套），单件上衣，单裙子"/>
    <m/>
    <s v="S，M，L，XL，2XL"/>
    <s v="花色"/>
    <x v="2"/>
    <s v="其他/other"/>
    <m/>
    <s v="其他"/>
    <s v="印花"/>
    <m/>
    <s v="其他"/>
    <s v="2015年夏季"/>
    <m/>
    <s v="常规"/>
    <s v="三号线女装"/>
    <s v="通勤"/>
    <m/>
    <s v="中腰"/>
    <m/>
    <m/>
    <m/>
    <s v="短袖"/>
    <s v="宝贝很赞(163) ; 版型好(149) ; 衣衣很舒服(99) ; 穿上好看(68) ; 料子好(46) ; 尺寸很准(45) ; "/>
  </r>
  <r>
    <n v="119"/>
    <s v="第 3 页 第 27 位"/>
    <s v="雪纺连衣裙女夏装甜美立领碎花无袖印花显瘦修身波西米亚沙滩长裙"/>
    <n v="24234"/>
    <n v="423"/>
    <n v="0.11119999999999999"/>
    <n v="47.04"/>
    <n v="47.04"/>
    <n v="18663"/>
    <s v="包邮"/>
    <n v="4160"/>
    <n v="4.8999999999999998E-3"/>
    <n v="4619"/>
    <n v="4.1000000000000003E-3"/>
    <n v="217277.76"/>
    <n v="3.8999999999999998E-3"/>
    <n v="43148"/>
    <n v="70443"/>
    <n v="0.61250000000000004"/>
    <n v="3"/>
    <n v="3197"/>
    <m/>
    <m/>
    <m/>
    <s v="卖家承诺24小时内发货|15天退货，退货邮费买家承担|蚂蚁花呗|信用卡支付|集分宝|如实描述"/>
    <x v="4"/>
    <s v="质越女装"/>
    <d v="2015-03-04T12:39:50"/>
    <s v="1冠"/>
    <s v="4.7; 4.7; 4.7"/>
    <n v="2280"/>
    <s v="淘宝"/>
    <n v="0.98740000000000006"/>
    <s v="女装/女士精品 "/>
    <s v=" 连衣裙"/>
    <m/>
    <d v="2015-08-29T00:00:00"/>
    <d v="1899-12-30T22:30:00"/>
    <s v="6天4时20分13秒"/>
    <s v="六"/>
    <s v="http://item.taobao.com/item.htm?id=520069772086"/>
    <s v="http://item.kandianbao.com/520069772086/"/>
    <s v="单件"/>
    <s v="71%(含)-80%(含)"/>
    <m/>
    <s v="立领"/>
    <s v="套头"/>
    <s v="白色，黑色"/>
    <s v="韩版"/>
    <s v="S，M，L，XL，2XL"/>
    <s v="花色"/>
    <x v="3"/>
    <s v="挂脖式"/>
    <m/>
    <s v="雪纺"/>
    <s v="蝴蝶结，印花"/>
    <n v="24234"/>
    <s v="大摆型"/>
    <s v="2015年夏季"/>
    <m/>
    <s v="常规"/>
    <m/>
    <s v="通勤"/>
    <m/>
    <s v="中腰"/>
    <s v="棉"/>
    <m/>
    <m/>
    <s v="无袖"/>
    <s v="宝贝很赞(395) ; 外形好看(349) ; 很舒适(186) ; 穿着漂亮(182) ; 码数很准(110) ; 料子不错(84) ; "/>
  </r>
  <r>
    <n v="120"/>
    <s v="第 3 页 第 28 位"/>
    <s v="欧洲站2015夏装明星同款女装刺绣水溶蕾丝连衣裙中长款一字领中裙"/>
    <m/>
    <n v="336"/>
    <n v="0.46500000000000002"/>
    <n v="156.24"/>
    <n v="156.24"/>
    <n v="1095"/>
    <s v="包邮"/>
    <n v="4125"/>
    <n v="4.7999999999999996E-3"/>
    <n v="4498"/>
    <n v="4.0000000000000001E-3"/>
    <n v="702767.52"/>
    <n v="1.2699999999999999E-2"/>
    <n v="52904"/>
    <n v="80798"/>
    <n v="0.65480000000000005"/>
    <n v="0"/>
    <n v="1612"/>
    <m/>
    <m/>
    <m/>
    <s v="卖家承诺15天内发货|7天无理由|蚂蚁花呗|信用卡支付|集分宝|如实描述"/>
    <x v="0"/>
    <s v="莫伟悠"/>
    <d v="2011-10-26T11:56:13"/>
    <s v="1冠"/>
    <s v="4.6; 4.7; 4.7"/>
    <n v="37696"/>
    <s v="淘宝"/>
    <n v="0.98089999999999999"/>
    <s v="女装/女士精品 "/>
    <s v=" 连衣裙"/>
    <m/>
    <d v="2015-08-26T00:00:00"/>
    <d v="1899-12-30T22:18:57"/>
    <s v="3天4时9分10秒"/>
    <s v="三"/>
    <s v="http://item.taobao.com/item.htm?id=520388244035"/>
    <s v="http://item.kandianbao.com/520388244035/"/>
    <s v="单件"/>
    <s v="95%以上"/>
    <s v="A型"/>
    <s v="一字领"/>
    <s v="拉链"/>
    <s v="白色，绿色"/>
    <s v="韩版"/>
    <s v="S，M，L，XL"/>
    <s v="纯色"/>
    <x v="0"/>
    <m/>
    <m/>
    <s v="蕾丝"/>
    <s v="镂空，手工磨破，褶皱，勾花镂空，波浪，乱针修补，蕾丝"/>
    <m/>
    <s v="A字裙"/>
    <s v="2015年夏季"/>
    <m/>
    <s v="常规"/>
    <m/>
    <s v="通勤"/>
    <m/>
    <s v="高腰"/>
    <s v="棉"/>
    <m/>
    <m/>
    <s v="短袖"/>
    <s v="质量蛮好(54) ; 版式好(44) ; 穿着效果好(25) ; 颜色挺正(22) ; 服务态度好(21) ; 做工很赞(16) ; "/>
  </r>
  <r>
    <n v="121"/>
    <s v="第 3 页 第 29 位"/>
    <s v="MOMO韩版连衣裙女夏 2015新款女装欧洲站夏裙圆领格子中裙女裙子"/>
    <m/>
    <n v="90"/>
    <n v="0.5"/>
    <n v="45"/>
    <n v="45"/>
    <n v="25098869"/>
    <s v="包邮"/>
    <n v="4098"/>
    <n v="4.7999999999999996E-3"/>
    <n v="5003"/>
    <n v="4.4000000000000003E-3"/>
    <n v="225135"/>
    <n v="4.1000000000000003E-3"/>
    <n v="29756"/>
    <n v="24250"/>
    <n v="1.2271000000000001"/>
    <n v="0"/>
    <n v="763"/>
    <m/>
    <m/>
    <m/>
    <s v="卖家承诺24小时内发货|7天无理由|蚂蚁花呗|信用卡支付|集分宝|如实描述"/>
    <x v="4"/>
    <s v="纠结的聪哥"/>
    <d v="2014-05-15T19:23:43"/>
    <s v="4钻"/>
    <s v="4.6; 4.7; 4.6"/>
    <n v="711"/>
    <s v="淘宝"/>
    <n v="0.98119999999999996"/>
    <s v="女装/女士精品 "/>
    <s v=" 连衣裙"/>
    <m/>
    <d v="2015-08-29T00:00:00"/>
    <d v="1899-12-30T10:20:00"/>
    <s v="5天16时10分13秒"/>
    <s v="六"/>
    <s v="http://item.taobao.com/item.htm?id=520450408333"/>
    <s v="http://item.kandianbao.com/520450408333/"/>
    <s v="单件"/>
    <s v="81%(含)-90%(含)"/>
    <s v="A型"/>
    <s v="圆领"/>
    <s v="套头"/>
    <s v="灰色，粉红色"/>
    <m/>
    <s v="S，M，L，XL"/>
    <s v="格子"/>
    <x v="0"/>
    <s v="其他/other"/>
    <m/>
    <m/>
    <m/>
    <m/>
    <s v="公主裙"/>
    <s v="2015年夏季"/>
    <m/>
    <s v="常规"/>
    <m/>
    <s v="甜美"/>
    <m/>
    <s v="中腰"/>
    <s v="涤纶"/>
    <m/>
    <m/>
    <s v="短袖"/>
    <s v="衣服不错(17) ; 很舒服(10) ; 版式好(8) ; 穿着美(7) ; 态度不错(6) ; 面料好(5) ; "/>
  </r>
  <r>
    <n v="122"/>
    <s v="第 3 页 第 30 位"/>
    <s v="韩国代购夏季新款韩版甜美清新圆领短袖雪纺碎花修身显瘦连衣裙女"/>
    <s v="WQ083"/>
    <n v="398"/>
    <n v="0.2442"/>
    <n v="97.2"/>
    <n v="97.2"/>
    <n v="1098"/>
    <s v="包邮"/>
    <n v="4066"/>
    <n v="4.7000000000000002E-3"/>
    <n v="4615"/>
    <n v="4.1000000000000003E-3"/>
    <n v="448578"/>
    <n v="8.0999999999999996E-3"/>
    <n v="38162"/>
    <n v="117798"/>
    <n v="0.32400000000000001"/>
    <n v="17"/>
    <n v="5941"/>
    <m/>
    <m/>
    <m/>
    <s v="8天退货，退货邮费买家承担|蚂蚁花呗|信用卡支付|集分宝|如实描述"/>
    <x v="0"/>
    <s v="红人楼阁"/>
    <d v="2014-10-10T19:59:57"/>
    <s v="3冠"/>
    <s v="4.9; 4.9; 4.8"/>
    <n v="168360"/>
    <s v="淘宝"/>
    <n v="0.99609999999999999"/>
    <s v="女装/女士精品 "/>
    <s v=" 连衣裙"/>
    <m/>
    <d v="2015-08-30T00:00:00"/>
    <d v="1899-12-30T17:40:56"/>
    <s v="6天23时31分9秒"/>
    <s v="日"/>
    <s v="http://item.taobao.com/item.htm?id=520070943551"/>
    <s v="http://item.kandianbao.com/520070943551/"/>
    <s v="单件"/>
    <s v="95%以上"/>
    <s v="H型"/>
    <s v="圆领"/>
    <s v="套头"/>
    <s v="绿色"/>
    <s v="韩版"/>
    <s v="S，M，L，XL"/>
    <s v="碎花"/>
    <x v="2"/>
    <s v="其他/other"/>
    <m/>
    <s v="雪纺"/>
    <s v="荷叶边，印花"/>
    <s v="WQ083"/>
    <s v="荷叶边裙"/>
    <s v="2015年夏季"/>
    <m/>
    <s v="常规"/>
    <s v="werokee"/>
    <s v="通勤"/>
    <m/>
    <s v="高腰"/>
    <s v="涤纶"/>
    <m/>
    <m/>
    <s v="短袖"/>
    <s v="质量蛮好(1384) ; 版型漂亮(843) ; 衣服很舒服(838) ; 穿着效果好(837) ; 款式很潮(576) ; 大小合适(557) ; "/>
  </r>
  <r>
    <n v="123"/>
    <s v="第 3 页 第 31 位"/>
    <s v="夏季新款女装2015性感包臀ol气质优雅韩版包裙时尚名媛修身连衣裙"/>
    <n v="2426"/>
    <n v="330"/>
    <n v="0.11849999999999999"/>
    <n v="39.1"/>
    <n v="39.1"/>
    <n v="14897"/>
    <s v="包邮"/>
    <n v="4044"/>
    <n v="4.7000000000000002E-3"/>
    <n v="5124"/>
    <n v="4.4999999999999997E-3"/>
    <n v="200348.4"/>
    <n v="3.5999999999999999E-3"/>
    <n v="16708"/>
    <n v="16285"/>
    <n v="1.026"/>
    <n v="0"/>
    <n v="886"/>
    <m/>
    <m/>
    <m/>
    <s v="卖家承诺48小时内发货|7天无理由|集分宝|支付宝支付|如实描述"/>
    <x v="4"/>
    <s v="相信我能2015"/>
    <d v="2014-10-09T02:21:23"/>
    <s v="4钻"/>
    <s v="4.6; 4.6; 4.5"/>
    <n v="5538"/>
    <s v="淘宝"/>
    <n v="0.95320000000000005"/>
    <s v="女装/女士精品 "/>
    <s v=" 连衣裙"/>
    <m/>
    <d v="2015-08-27T00:00:00"/>
    <d v="1899-12-30T15:51:01"/>
    <s v="3天21时41分14秒"/>
    <s v="四"/>
    <s v="http://item.taobao.com/item.htm?id=520420942231"/>
    <s v="http://item.kandianbao.com/520420942231/"/>
    <m/>
    <s v="51%(含)-70%(含)"/>
    <m/>
    <s v="半高领"/>
    <s v="拉链"/>
    <s v="黑色，粉红色"/>
    <m/>
    <s v="XS，S，M，L，XL"/>
    <m/>
    <x v="1"/>
    <m/>
    <m/>
    <s v="其他"/>
    <m/>
    <n v="2426"/>
    <m/>
    <s v="2015年夏季"/>
    <m/>
    <m/>
    <m/>
    <s v="通勤"/>
    <m/>
    <s v="中腰"/>
    <m/>
    <m/>
    <m/>
    <s v="无袖"/>
    <s v="衣服不错(81) ; 衣服很舒服(35) ; 服务态度好(33) ; 款式好(22) ; 穿着效果好(22) ; 版型好(21) ; "/>
  </r>
  <r>
    <n v="124"/>
    <s v="第 3 页 第 32 位"/>
    <s v="2015夏季新款女装修身雪纺连衣裙气质名媛小香风无袖衬衫公主裙秋"/>
    <m/>
    <n v="74"/>
    <n v="0.41889999999999999"/>
    <n v="31"/>
    <n v="31"/>
    <n v="236273"/>
    <s v="包邮"/>
    <n v="4041"/>
    <n v="4.7000000000000002E-3"/>
    <n v="4739"/>
    <n v="4.1999999999999997E-3"/>
    <n v="146909"/>
    <n v="2.7000000000000001E-3"/>
    <n v="9112"/>
    <n v="13330"/>
    <n v="0.68359999999999999"/>
    <n v="1"/>
    <n v="1140"/>
    <m/>
    <m/>
    <m/>
    <s v="卖家承诺72小时内发货|7天无理由|蚂蚁花呗|信用卡支付|集分宝|如实描述"/>
    <x v="4"/>
    <s v="宇恒正品"/>
    <d v="2014-04-08T13:22:48"/>
    <s v="3冠"/>
    <s v="4.6; 4.7; 4.6"/>
    <n v="7010"/>
    <s v="淘宝"/>
    <n v="0.9839"/>
    <s v="女装/女士精品 "/>
    <s v=" 连衣裙"/>
    <m/>
    <d v="2015-08-30T00:00:00"/>
    <d v="1899-12-30T16:26:31"/>
    <s v="6天22时16分44秒"/>
    <s v="日"/>
    <s v="http://item.taobao.com/item.htm?id=520605832542"/>
    <s v="http://item.kandianbao.com/520605832542/"/>
    <s v="其他"/>
    <s v="71%(含)-80%(含)"/>
    <m/>
    <s v="POLO领"/>
    <s v="套头"/>
    <s v="白色【长袖优质】，酒红【长袖优质】，深蓝【无袖优版】，蓝色【长袖优质】，桔色【长袖优质】，白色【无袖优质】"/>
    <s v="韩版"/>
    <s v="S，M，L，XL"/>
    <s v="纯色"/>
    <x v="2"/>
    <s v="其他/other"/>
    <m/>
    <s v="雪纺"/>
    <s v="纱网，纽扣，褶皱，拼接"/>
    <m/>
    <s v="公主裙"/>
    <s v="2015年夏季"/>
    <m/>
    <s v="常规"/>
    <s v="无"/>
    <s v="通勤"/>
    <m/>
    <s v="高腰"/>
    <s v="棉"/>
    <m/>
    <m/>
    <s v="无袖"/>
    <s v="版型漂亮(52) ; 质量不错(43) ; 很划算(40) ; 很舒适(26) ; 物流快(24) ; 穿着漂亮(23) ; "/>
  </r>
  <r>
    <s v="序号"/>
    <s v="排名位置"/>
    <s v="宝贝名称：看店宝【kandianbao.com】"/>
    <s v="货号"/>
    <s v="原价"/>
    <s v="折扣率"/>
    <s v="销售价"/>
    <s v="手机价"/>
    <s v="库存"/>
    <s v="邮费"/>
    <s v="30天收货"/>
    <s v="收货占比"/>
    <s v="30天销量"/>
    <s v="销量占比"/>
    <s v="30天销售额"/>
    <s v="销售额占比"/>
    <s v="总收藏量"/>
    <s v="PC总浏览量"/>
    <s v="收藏比"/>
    <s v="总分享数"/>
    <s v="总评价数"/>
    <s v="宝贝促销"/>
    <s v="店铺促销"/>
    <s v="活动促销"/>
    <s v="服务保证"/>
    <x v="12"/>
    <s v="店铺掌柜"/>
    <s v="开店日期"/>
    <s v="店铺信誉"/>
    <s v="店铺dsr"/>
    <s v="店铺收藏"/>
    <s v="店铺类型"/>
    <s v="好评率"/>
    <s v="一级类目"/>
    <s v="二级类目"/>
    <s v="三级类目"/>
    <s v="下架日期"/>
    <s v="下架时间"/>
    <s v="天数"/>
    <s v="星期"/>
    <s v="宝贝地址"/>
    <s v="分析地址"/>
    <s v="组合形式"/>
    <s v="成分含量"/>
    <s v="廓形"/>
    <s v="领型"/>
    <s v="衣门襟"/>
    <s v="颜色分类"/>
    <s v="通勤"/>
    <s v="尺码"/>
    <s v="图案"/>
    <x v="4"/>
    <s v="款式"/>
    <s v="销售渠道类型"/>
    <s v="面料"/>
    <s v="流行元素/工艺"/>
    <s v="货号"/>
    <s v="裙型"/>
    <s v="年份季节"/>
    <s v="材质成分"/>
    <s v="袖型"/>
    <s v="品牌"/>
    <s v="风格"/>
    <s v="甜美"/>
    <s v="腰型"/>
    <s v="材质"/>
    <s v="街头"/>
    <s v="适用年龄"/>
    <s v="袖长"/>
    <s v="评价标签"/>
  </r>
  <r>
    <s v="统计"/>
    <m/>
    <s v="销售额=销量x价格（价格取值顺序：手机价、销售价、原价）"/>
    <m/>
    <m/>
    <m/>
    <m/>
    <m/>
    <n v="38135579"/>
    <m/>
    <n v="856090"/>
    <m/>
    <n v="1133871"/>
    <m/>
    <n v="55239276.920000002"/>
    <m/>
    <n v="5304962"/>
    <n v="15147332"/>
    <m/>
    <n v="5578"/>
    <n v="681643"/>
    <s v="总销售额："/>
    <s v="已经下架宝贝没包括"/>
    <m/>
    <m/>
    <x v="13"/>
    <m/>
    <m/>
    <m/>
    <m/>
    <m/>
    <m/>
    <m/>
    <m/>
    <m/>
    <m/>
    <m/>
    <m/>
    <m/>
    <m/>
    <m/>
    <m/>
    <m/>
    <m/>
    <m/>
    <m/>
    <m/>
    <m/>
    <m/>
    <m/>
    <m/>
    <x v="5"/>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0B3C86-6CCA-4AFC-911D-9DC4EE9A5172}" name="数据透视表1" cacheId="1" applyNumberFormats="0" applyBorderFormats="0" applyFontFormats="0" applyPatternFormats="0" applyAlignmentFormats="0" applyWidthHeightFormats="1" dataCaption="值" updatedVersion="8" minRefreshableVersion="3" useAutoFormatting="1" itemPrintTitles="1" createdVersion="8" indent="0" outline="1" outlineData="1" multipleFieldFilters="0" chartFormat="13">
  <location ref="A3:B18" firstHeaderRow="1" firstDataRow="1" firstDataCol="1"/>
  <pivotFields count="7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sortType="descending">
      <items count="15">
        <item x="5"/>
        <item x="1"/>
        <item x="4"/>
        <item x="8"/>
        <item x="9"/>
        <item x="11"/>
        <item x="2"/>
        <item x="7"/>
        <item x="3"/>
        <item x="10"/>
        <item x="6"/>
        <item x="12"/>
        <item x="0"/>
        <item x="1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5"/>
  </rowFields>
  <rowItems count="15">
    <i>
      <x v="2"/>
    </i>
    <i>
      <x v="12"/>
    </i>
    <i>
      <x/>
    </i>
    <i>
      <x v="8"/>
    </i>
    <i>
      <x v="4"/>
    </i>
    <i>
      <x v="6"/>
    </i>
    <i>
      <x v="13"/>
    </i>
    <i>
      <x v="11"/>
    </i>
    <i>
      <x v="10"/>
    </i>
    <i>
      <x v="7"/>
    </i>
    <i>
      <x v="5"/>
    </i>
    <i>
      <x v="1"/>
    </i>
    <i>
      <x v="3"/>
    </i>
    <i>
      <x v="9"/>
    </i>
    <i t="grand">
      <x/>
    </i>
  </rowItems>
  <colItems count="1">
    <i/>
  </colItems>
  <dataFields count="1">
    <dataField name="计数项:30天销售额" fld="14" subtotal="count" baseField="0" baseItem="0"/>
  </dataFields>
  <chartFormats count="1">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31FA2E-5380-4B97-BFAC-5E8C53EAB547}" name="数据透视表2" cacheId="1" applyNumberFormats="0" applyBorderFormats="0" applyFontFormats="0" applyPatternFormats="0" applyAlignmentFormats="0" applyWidthHeightFormats="1" dataCaption="值" updatedVersion="8" minRefreshableVersion="3" useAutoFormatting="1" itemPrintTitles="1" createdVersion="8" indent="0" outline="1" outlineData="1" multipleFieldFilters="0" chartFormat="28">
  <location ref="A3:C10" firstHeaderRow="0" firstDataRow="1" firstDataCol="1"/>
  <pivotFields count="7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2"/>
        <item x="4"/>
        <item x="3"/>
        <item x="0"/>
        <item x="1"/>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1"/>
  </rowFields>
  <rowItems count="7">
    <i>
      <x/>
    </i>
    <i>
      <x v="1"/>
    </i>
    <i>
      <x v="2"/>
    </i>
    <i>
      <x v="3"/>
    </i>
    <i>
      <x v="4"/>
    </i>
    <i>
      <x v="5"/>
    </i>
    <i t="grand">
      <x/>
    </i>
  </rowItems>
  <colFields count="1">
    <field x="-2"/>
  </colFields>
  <colItems count="2">
    <i>
      <x/>
    </i>
    <i i="1">
      <x v="1"/>
    </i>
  </colItems>
  <dataFields count="2">
    <dataField name="计数项:30天销售额" fld="14" subtotal="count" baseField="0" baseItem="0"/>
    <dataField name="平均值项:销售价" fld="6" subtotal="average" baseField="51" baseItem="0"/>
  </dataFields>
  <chartFormats count="2">
    <chartFormat chart="27"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B832F0-CC9A-4632-949D-FBC8FE09CEB4}" name="数据透视表4" cacheId="1" applyNumberFormats="0" applyBorderFormats="0" applyFontFormats="0" applyPatternFormats="0" applyAlignmentFormats="0" applyWidthHeightFormats="1" dataCaption="值" updatedVersion="8" minRefreshableVersion="3" useAutoFormatting="1" itemPrintTitles="1" createdVersion="8" indent="0" outline="1" outlineData="1" multipleFieldFilters="0">
  <location ref="A3:D13" firstHeaderRow="1" firstDataRow="2" firstDataCol="1"/>
  <pivotFields count="7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15">
        <item x="5"/>
        <item x="1"/>
        <item x="4"/>
        <item x="8"/>
        <item x="9"/>
        <item x="11"/>
        <item x="2"/>
        <item x="7"/>
        <item x="3"/>
        <item x="10"/>
        <item x="6"/>
        <item x="12"/>
        <item x="0"/>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7">
        <item x="2"/>
        <item h="1" x="4"/>
        <item h="1" x="3"/>
        <item x="0"/>
        <item h="1" x="1"/>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5"/>
  </rowFields>
  <rowItems count="9">
    <i>
      <x/>
    </i>
    <i>
      <x v="2"/>
    </i>
    <i>
      <x v="3"/>
    </i>
    <i>
      <x v="4"/>
    </i>
    <i>
      <x v="6"/>
    </i>
    <i>
      <x v="7"/>
    </i>
    <i>
      <x v="8"/>
    </i>
    <i>
      <x v="12"/>
    </i>
    <i t="grand">
      <x/>
    </i>
  </rowItems>
  <colFields count="1">
    <field x="51"/>
  </colFields>
  <colItems count="3">
    <i>
      <x/>
    </i>
    <i>
      <x v="3"/>
    </i>
    <i t="grand">
      <x/>
    </i>
  </colItems>
  <dataFields count="1">
    <dataField name="计数项:30天销售额"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数据透视表1" cacheId="0" applyNumberFormats="0" applyBorderFormats="0" applyFontFormats="0" applyPatternFormats="0" applyAlignmentFormats="0" applyWidthHeightFormats="1" dataCaption="值" updatedVersion="5" minRefreshableVersion="3" useAutoFormatting="1" itemPrintTitles="1" createdVersion="5" indent="0" outline="1" outlineData="1" multipleFieldFilters="0">
  <location ref="B3:S12" firstHeaderRow="1" firstDataRow="2" firstDataCol="1"/>
  <pivotFields count="42">
    <pivotField showAll="0"/>
    <pivotField showAll="0"/>
    <pivotField showAll="0"/>
    <pivotField showAll="0"/>
    <pivotField showAll="0"/>
    <pivotField numFmtId="10" showAll="0"/>
    <pivotField showAll="0"/>
    <pivotField showAll="0"/>
    <pivotField showAll="0"/>
    <pivotField showAll="0"/>
    <pivotField showAll="0"/>
    <pivotField numFmtId="10" showAll="0"/>
    <pivotField dataField="1" showAll="0"/>
    <pivotField numFmtId="10" showAll="0"/>
    <pivotField showAll="0"/>
    <pivotField numFmtId="10" showAll="0"/>
    <pivotField showAll="0"/>
    <pivotField showAll="0"/>
    <pivotField showAll="0"/>
    <pivotField showAll="0"/>
    <pivotField showAll="0"/>
    <pivotField showAll="0"/>
    <pivotField showAll="0"/>
    <pivotField showAll="0"/>
    <pivotField showAll="0"/>
    <pivotField showAll="0"/>
    <pivotField showAll="0"/>
    <pivotField numFmtId="22" showAll="0"/>
    <pivotField showAll="0"/>
    <pivotField showAll="0"/>
    <pivotField showAll="0"/>
    <pivotField showAll="0"/>
    <pivotField numFmtId="10" showAll="0"/>
    <pivotField showAll="0"/>
    <pivotField showAll="0"/>
    <pivotField showAll="0"/>
    <pivotField numFmtId="14" showAll="0"/>
    <pivotField numFmtId="21" showAll="0"/>
    <pivotField showAll="0"/>
    <pivotField axis="axisRow" showAll="0">
      <items count="8">
        <item x="0"/>
        <item x="6"/>
        <item x="2"/>
        <item x="4"/>
        <item x="1"/>
        <item x="3"/>
        <item x="5"/>
        <item t="default"/>
      </items>
    </pivotField>
    <pivotField axis="axisCol" showAll="0">
      <items count="17">
        <item x="13"/>
        <item x="11"/>
        <item x="15"/>
        <item x="3"/>
        <item x="8"/>
        <item x="14"/>
        <item x="10"/>
        <item x="1"/>
        <item x="6"/>
        <item x="5"/>
        <item x="9"/>
        <item x="12"/>
        <item x="7"/>
        <item x="2"/>
        <item x="0"/>
        <item x="4"/>
        <item t="default"/>
      </items>
    </pivotField>
    <pivotField showAll="0"/>
  </pivotFields>
  <rowFields count="1">
    <field x="39"/>
  </rowFields>
  <rowItems count="8">
    <i>
      <x/>
    </i>
    <i>
      <x v="1"/>
    </i>
    <i>
      <x v="2"/>
    </i>
    <i>
      <x v="3"/>
    </i>
    <i>
      <x v="4"/>
    </i>
    <i>
      <x v="5"/>
    </i>
    <i>
      <x v="6"/>
    </i>
    <i t="grand">
      <x/>
    </i>
  </rowItems>
  <colFields count="1">
    <field x="40"/>
  </colFields>
  <colItems count="17">
    <i>
      <x/>
    </i>
    <i>
      <x v="1"/>
    </i>
    <i>
      <x v="2"/>
    </i>
    <i>
      <x v="3"/>
    </i>
    <i>
      <x v="4"/>
    </i>
    <i>
      <x v="5"/>
    </i>
    <i>
      <x v="6"/>
    </i>
    <i>
      <x v="7"/>
    </i>
    <i>
      <x v="8"/>
    </i>
    <i>
      <x v="9"/>
    </i>
    <i>
      <x v="10"/>
    </i>
    <i>
      <x v="11"/>
    </i>
    <i>
      <x v="12"/>
    </i>
    <i>
      <x v="13"/>
    </i>
    <i>
      <x v="14"/>
    </i>
    <i>
      <x v="15"/>
    </i>
    <i t="grand">
      <x/>
    </i>
  </colItems>
  <dataFields count="1">
    <dataField name="求和项:30天销量"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切片器_裙长" xr10:uid="{A4BB6DE9-9136-4262-9E05-B4A4FEE68762}" sourceName="裙长">
  <pivotTables>
    <pivotTable tabId="7" name="数据透视表4"/>
  </pivotTables>
  <data>
    <tabular pivotCacheId="1533073974">
      <items count="6">
        <i x="2" s="1"/>
        <i x="4"/>
        <i x="3"/>
        <i x="0" s="1"/>
        <i x="1"/>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裙长" xr10:uid="{3DE98E19-5D12-4245-A63F-B20F528466DA}" cache="切片器_裙长" caption="裙长" rowHeight="220133"/>
</slicer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81F8E-61DC-4615-BD8E-E0FA0DCD797A}">
  <dimension ref="A3:B18"/>
  <sheetViews>
    <sheetView zoomScale="55" zoomScaleNormal="55" workbookViewId="0">
      <selection activeCell="E3" sqref="E3"/>
    </sheetView>
  </sheetViews>
  <sheetFormatPr defaultRowHeight="14" x14ac:dyDescent="0.25"/>
  <cols>
    <col min="1" max="1" width="9.81640625" bestFit="1" customWidth="1"/>
    <col min="2" max="2" width="19.90625" customWidth="1"/>
    <col min="3" max="12" width="9.6328125" bestFit="1" customWidth="1"/>
    <col min="13" max="13" width="7.54296875" bestFit="1" customWidth="1"/>
    <col min="14" max="14" width="9.6328125" bestFit="1" customWidth="1"/>
    <col min="15" max="15" width="7.6328125" bestFit="1" customWidth="1"/>
    <col min="16" max="16" width="5.453125" bestFit="1" customWidth="1"/>
  </cols>
  <sheetData>
    <row r="3" spans="1:2" x14ac:dyDescent="0.25">
      <c r="A3" s="7" t="s">
        <v>1419</v>
      </c>
      <c r="B3" t="s">
        <v>1472</v>
      </c>
    </row>
    <row r="4" spans="1:2" x14ac:dyDescent="0.25">
      <c r="A4" s="8" t="s">
        <v>175</v>
      </c>
      <c r="B4">
        <v>67</v>
      </c>
    </row>
    <row r="5" spans="1:2" x14ac:dyDescent="0.25">
      <c r="A5" s="8" t="s">
        <v>74</v>
      </c>
      <c r="B5">
        <v>39</v>
      </c>
    </row>
    <row r="6" spans="1:2" x14ac:dyDescent="0.25">
      <c r="A6" s="8" t="s">
        <v>190</v>
      </c>
      <c r="B6">
        <v>5</v>
      </c>
    </row>
    <row r="7" spans="1:2" x14ac:dyDescent="0.25">
      <c r="A7" s="8" t="s">
        <v>155</v>
      </c>
      <c r="B7">
        <v>3</v>
      </c>
    </row>
    <row r="8" spans="1:2" x14ac:dyDescent="0.25">
      <c r="A8" s="8" t="s">
        <v>964</v>
      </c>
      <c r="B8">
        <v>2</v>
      </c>
    </row>
    <row r="9" spans="1:2" x14ac:dyDescent="0.25">
      <c r="A9" s="8" t="s">
        <v>132</v>
      </c>
      <c r="B9">
        <v>2</v>
      </c>
    </row>
    <row r="10" spans="1:2" x14ac:dyDescent="0.25">
      <c r="A10" s="8" t="s">
        <v>1471</v>
      </c>
      <c r="B10">
        <v>1</v>
      </c>
    </row>
    <row r="11" spans="1:2" x14ac:dyDescent="0.25">
      <c r="A11" s="8" t="s">
        <v>26</v>
      </c>
      <c r="B11">
        <v>1</v>
      </c>
    </row>
    <row r="12" spans="1:2" x14ac:dyDescent="0.25">
      <c r="A12" s="8" t="s">
        <v>651</v>
      </c>
      <c r="B12">
        <v>1</v>
      </c>
    </row>
    <row r="13" spans="1:2" x14ac:dyDescent="0.25">
      <c r="A13" s="8" t="s">
        <v>789</v>
      </c>
      <c r="B13">
        <v>1</v>
      </c>
    </row>
    <row r="14" spans="1:2" x14ac:dyDescent="0.25">
      <c r="A14" s="8" t="s">
        <v>1029</v>
      </c>
      <c r="B14">
        <v>1</v>
      </c>
    </row>
    <row r="15" spans="1:2" x14ac:dyDescent="0.25">
      <c r="A15" s="8" t="s">
        <v>106</v>
      </c>
      <c r="B15">
        <v>1</v>
      </c>
    </row>
    <row r="16" spans="1:2" x14ac:dyDescent="0.25">
      <c r="A16" s="8" t="s">
        <v>917</v>
      </c>
      <c r="B16">
        <v>1</v>
      </c>
    </row>
    <row r="17" spans="1:2" x14ac:dyDescent="0.25">
      <c r="A17" s="8" t="s">
        <v>1008</v>
      </c>
      <c r="B17">
        <v>1</v>
      </c>
    </row>
    <row r="18" spans="1:2" x14ac:dyDescent="0.25">
      <c r="A18" s="8" t="s">
        <v>1420</v>
      </c>
      <c r="B18">
        <v>126</v>
      </c>
    </row>
  </sheetData>
  <phoneticPr fontId="1" type="noConversion"/>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49D52-DB31-4AAC-A7FC-0FB86DDF4CF4}">
  <dimension ref="A3:C10"/>
  <sheetViews>
    <sheetView zoomScale="55" zoomScaleNormal="55" workbookViewId="0">
      <selection activeCell="E6" sqref="E6"/>
    </sheetView>
  </sheetViews>
  <sheetFormatPr defaultRowHeight="14" x14ac:dyDescent="0.25"/>
  <cols>
    <col min="1" max="1" width="9.81640625" bestFit="1" customWidth="1"/>
    <col min="2" max="2" width="19.90625" bestFit="1" customWidth="1"/>
    <col min="3" max="3" width="17.54296875" bestFit="1" customWidth="1"/>
  </cols>
  <sheetData>
    <row r="3" spans="1:3" x14ac:dyDescent="0.25">
      <c r="A3" s="7" t="s">
        <v>1419</v>
      </c>
      <c r="B3" t="s">
        <v>1472</v>
      </c>
      <c r="C3" t="s">
        <v>1473</v>
      </c>
    </row>
    <row r="4" spans="1:3" x14ac:dyDescent="0.25">
      <c r="A4" s="8" t="s">
        <v>140</v>
      </c>
      <c r="B4">
        <v>47</v>
      </c>
      <c r="C4">
        <v>53.477021276595757</v>
      </c>
    </row>
    <row r="5" spans="1:3" x14ac:dyDescent="0.25">
      <c r="A5" s="8" t="s">
        <v>52</v>
      </c>
      <c r="B5">
        <v>1</v>
      </c>
      <c r="C5" t="e">
        <v>#DIV/0!</v>
      </c>
    </row>
    <row r="6" spans="1:3" x14ac:dyDescent="0.25">
      <c r="A6" s="8" t="s">
        <v>230</v>
      </c>
      <c r="B6">
        <v>24</v>
      </c>
      <c r="C6">
        <v>52.444583333333327</v>
      </c>
    </row>
    <row r="7" spans="1:3" x14ac:dyDescent="0.25">
      <c r="A7" s="8" t="s">
        <v>94</v>
      </c>
      <c r="B7">
        <v>26</v>
      </c>
      <c r="C7">
        <v>66.523461538461532</v>
      </c>
    </row>
    <row r="8" spans="1:3" x14ac:dyDescent="0.25">
      <c r="A8" s="8" t="s">
        <v>120</v>
      </c>
      <c r="B8">
        <v>27</v>
      </c>
      <c r="C8">
        <v>37.61851851851852</v>
      </c>
    </row>
    <row r="9" spans="1:3" x14ac:dyDescent="0.25">
      <c r="A9" s="8" t="s">
        <v>1471</v>
      </c>
      <c r="B9">
        <v>1</v>
      </c>
    </row>
    <row r="10" spans="1:3" x14ac:dyDescent="0.25">
      <c r="A10" s="8" t="s">
        <v>1420</v>
      </c>
      <c r="B10">
        <v>126</v>
      </c>
      <c r="C10">
        <v>52.559677419354848</v>
      </c>
    </row>
  </sheetData>
  <phoneticPr fontId="1" type="noConversion"/>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969E3-033B-4E4A-B033-27D5B3A56956}">
  <dimension ref="A3:D13"/>
  <sheetViews>
    <sheetView workbookViewId="0">
      <selection activeCell="A9" sqref="A9"/>
    </sheetView>
  </sheetViews>
  <sheetFormatPr defaultRowHeight="14" x14ac:dyDescent="0.25"/>
  <cols>
    <col min="1" max="1" width="19.90625" bestFit="1" customWidth="1"/>
    <col min="2" max="2" width="9.81640625" bestFit="1" customWidth="1"/>
    <col min="3" max="5" width="5.453125" bestFit="1" customWidth="1"/>
    <col min="6" max="6" width="7.54296875" bestFit="1" customWidth="1"/>
    <col min="7" max="7" width="7.6328125" bestFit="1" customWidth="1"/>
    <col min="8" max="8" width="5.453125" bestFit="1" customWidth="1"/>
  </cols>
  <sheetData>
    <row r="3" spans="1:4" x14ac:dyDescent="0.25">
      <c r="A3" s="7" t="s">
        <v>1472</v>
      </c>
      <c r="B3" s="7" t="s">
        <v>1421</v>
      </c>
    </row>
    <row r="4" spans="1:4" x14ac:dyDescent="0.25">
      <c r="A4" s="7" t="s">
        <v>1419</v>
      </c>
      <c r="B4" t="s">
        <v>140</v>
      </c>
      <c r="C4" t="s">
        <v>94</v>
      </c>
      <c r="D4" t="s">
        <v>1420</v>
      </c>
    </row>
    <row r="5" spans="1:4" x14ac:dyDescent="0.25">
      <c r="A5" s="8" t="s">
        <v>190</v>
      </c>
      <c r="C5">
        <v>1</v>
      </c>
      <c r="D5">
        <v>1</v>
      </c>
    </row>
    <row r="6" spans="1:4" x14ac:dyDescent="0.25">
      <c r="A6" s="8" t="s">
        <v>175</v>
      </c>
      <c r="B6">
        <v>29</v>
      </c>
      <c r="C6">
        <v>13</v>
      </c>
      <c r="D6">
        <v>42</v>
      </c>
    </row>
    <row r="7" spans="1:4" x14ac:dyDescent="0.25">
      <c r="A7" s="8" t="s">
        <v>917</v>
      </c>
      <c r="B7">
        <v>1</v>
      </c>
      <c r="D7">
        <v>1</v>
      </c>
    </row>
    <row r="8" spans="1:4" x14ac:dyDescent="0.25">
      <c r="A8" s="8" t="s">
        <v>964</v>
      </c>
      <c r="B8">
        <v>1</v>
      </c>
      <c r="C8">
        <v>1</v>
      </c>
      <c r="D8">
        <v>2</v>
      </c>
    </row>
    <row r="9" spans="1:4" x14ac:dyDescent="0.25">
      <c r="A9" s="8" t="s">
        <v>132</v>
      </c>
      <c r="B9">
        <v>2</v>
      </c>
      <c r="D9">
        <v>2</v>
      </c>
    </row>
    <row r="10" spans="1:4" x14ac:dyDescent="0.25">
      <c r="A10" s="8" t="s">
        <v>789</v>
      </c>
      <c r="C10">
        <v>1</v>
      </c>
      <c r="D10">
        <v>1</v>
      </c>
    </row>
    <row r="11" spans="1:4" x14ac:dyDescent="0.25">
      <c r="A11" s="8" t="s">
        <v>155</v>
      </c>
      <c r="B11">
        <v>2</v>
      </c>
      <c r="D11">
        <v>2</v>
      </c>
    </row>
    <row r="12" spans="1:4" x14ac:dyDescent="0.25">
      <c r="A12" s="8" t="s">
        <v>74</v>
      </c>
      <c r="B12">
        <v>12</v>
      </c>
      <c r="C12">
        <v>10</v>
      </c>
      <c r="D12">
        <v>22</v>
      </c>
    </row>
    <row r="13" spans="1:4" x14ac:dyDescent="0.25">
      <c r="A13" s="8" t="s">
        <v>1420</v>
      </c>
      <c r="B13">
        <v>47</v>
      </c>
      <c r="C13">
        <v>26</v>
      </c>
      <c r="D13">
        <v>73</v>
      </c>
    </row>
  </sheetData>
  <phoneticPr fontId="1" type="noConversion"/>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R148"/>
  <sheetViews>
    <sheetView tabSelected="1" zoomScale="25" zoomScaleNormal="25" workbookViewId="0">
      <selection activeCell="AJ130" sqref="AJ130:AJ148"/>
    </sheetView>
  </sheetViews>
  <sheetFormatPr defaultRowHeight="14" x14ac:dyDescent="0.25"/>
  <cols>
    <col min="3" max="3" width="66.36328125" bestFit="1" customWidth="1"/>
    <col min="7" max="7" width="7.7265625" bestFit="1" customWidth="1"/>
    <col min="15" max="15" width="13.1796875" bestFit="1" customWidth="1"/>
    <col min="17" max="17" width="13.6328125" bestFit="1" customWidth="1"/>
    <col min="21" max="21" width="30.08984375" bestFit="1" customWidth="1"/>
    <col min="22" max="22" width="18" bestFit="1" customWidth="1"/>
    <col min="33" max="33" width="13.6328125" bestFit="1" customWidth="1"/>
    <col min="34" max="34" width="18" bestFit="1" customWidth="1"/>
    <col min="36" max="36" width="13.1796875" bestFit="1" customWidth="1"/>
  </cols>
  <sheetData>
    <row r="1" spans="1:70" x14ac:dyDescent="0.25">
      <c r="A1" t="s">
        <v>0</v>
      </c>
    </row>
    <row r="2" spans="1:70" x14ac:dyDescent="0.25">
      <c r="A2" t="s">
        <v>1</v>
      </c>
      <c r="B2" t="s">
        <v>2</v>
      </c>
      <c r="C2" t="s">
        <v>3</v>
      </c>
      <c r="D2" t="s">
        <v>4</v>
      </c>
      <c r="E2" t="s">
        <v>5</v>
      </c>
      <c r="F2" t="s">
        <v>6</v>
      </c>
      <c r="G2" t="s">
        <v>7</v>
      </c>
      <c r="H2" t="s">
        <v>8</v>
      </c>
      <c r="I2" t="s">
        <v>9</v>
      </c>
      <c r="J2" t="s">
        <v>10</v>
      </c>
      <c r="K2" t="s">
        <v>11</v>
      </c>
      <c r="L2" t="s">
        <v>12</v>
      </c>
      <c r="M2" t="s">
        <v>13</v>
      </c>
      <c r="N2" t="s">
        <v>14</v>
      </c>
      <c r="O2" t="s">
        <v>15</v>
      </c>
      <c r="P2" t="s">
        <v>16</v>
      </c>
      <c r="Q2" t="s">
        <v>17</v>
      </c>
      <c r="R2" t="s">
        <v>18</v>
      </c>
      <c r="S2" t="s">
        <v>19</v>
      </c>
      <c r="T2" t="s">
        <v>20</v>
      </c>
      <c r="U2" t="s">
        <v>21</v>
      </c>
      <c r="V2" t="s">
        <v>22</v>
      </c>
      <c r="W2" t="s">
        <v>23</v>
      </c>
      <c r="X2" t="s">
        <v>24</v>
      </c>
      <c r="Y2" t="s">
        <v>25</v>
      </c>
      <c r="Z2" t="s">
        <v>26</v>
      </c>
      <c r="AA2" t="s">
        <v>27</v>
      </c>
      <c r="AB2" t="s">
        <v>28</v>
      </c>
      <c r="AC2" t="s">
        <v>29</v>
      </c>
      <c r="AD2" t="s">
        <v>30</v>
      </c>
      <c r="AE2" t="s">
        <v>31</v>
      </c>
      <c r="AF2" t="s">
        <v>32</v>
      </c>
      <c r="AG2" t="s">
        <v>33</v>
      </c>
      <c r="AH2" t="s">
        <v>34</v>
      </c>
      <c r="AI2" t="s">
        <v>35</v>
      </c>
      <c r="AJ2" t="s">
        <v>36</v>
      </c>
      <c r="AK2" t="s">
        <v>37</v>
      </c>
      <c r="AL2" t="s">
        <v>38</v>
      </c>
      <c r="AM2" t="s">
        <v>39</v>
      </c>
      <c r="AN2" t="s">
        <v>40</v>
      </c>
      <c r="AO2" t="s">
        <v>41</v>
      </c>
      <c r="AP2" t="s">
        <v>42</v>
      </c>
      <c r="AQ2" t="s">
        <v>43</v>
      </c>
      <c r="AR2" t="s">
        <v>44</v>
      </c>
      <c r="AS2" t="s">
        <v>45</v>
      </c>
      <c r="AT2" t="s">
        <v>46</v>
      </c>
      <c r="AU2" t="s">
        <v>47</v>
      </c>
      <c r="AV2" t="s">
        <v>48</v>
      </c>
      <c r="AW2" t="s">
        <v>49</v>
      </c>
      <c r="AX2" t="s">
        <v>50</v>
      </c>
      <c r="AY2" t="s">
        <v>51</v>
      </c>
      <c r="AZ2" t="s">
        <v>52</v>
      </c>
      <c r="BA2" t="s">
        <v>53</v>
      </c>
      <c r="BB2" t="s">
        <v>54</v>
      </c>
      <c r="BC2" t="s">
        <v>55</v>
      </c>
      <c r="BD2" t="s">
        <v>56</v>
      </c>
      <c r="BE2" t="s">
        <v>4</v>
      </c>
      <c r="BF2" t="s">
        <v>57</v>
      </c>
      <c r="BG2" t="s">
        <v>58</v>
      </c>
      <c r="BH2" t="s">
        <v>59</v>
      </c>
      <c r="BI2" t="s">
        <v>60</v>
      </c>
      <c r="BJ2" t="s">
        <v>61</v>
      </c>
      <c r="BK2" t="s">
        <v>62</v>
      </c>
      <c r="BL2" t="s">
        <v>63</v>
      </c>
      <c r="BM2" t="s">
        <v>64</v>
      </c>
      <c r="BN2" t="s">
        <v>65</v>
      </c>
      <c r="BO2" t="s">
        <v>66</v>
      </c>
      <c r="BP2" t="s">
        <v>67</v>
      </c>
      <c r="BQ2" t="s">
        <v>68</v>
      </c>
      <c r="BR2" t="s">
        <v>69</v>
      </c>
    </row>
    <row r="3" spans="1:70" x14ac:dyDescent="0.25">
      <c r="A3">
        <v>1</v>
      </c>
      <c r="B3" t="s">
        <v>70</v>
      </c>
      <c r="C3" t="s">
        <v>71</v>
      </c>
      <c r="E3">
        <v>468</v>
      </c>
      <c r="F3" s="1">
        <v>0.3342</v>
      </c>
      <c r="G3">
        <v>156.41999999999999</v>
      </c>
      <c r="H3">
        <v>156.41999999999999</v>
      </c>
      <c r="I3">
        <v>8011</v>
      </c>
      <c r="J3" t="s">
        <v>72</v>
      </c>
      <c r="K3">
        <v>21808</v>
      </c>
      <c r="L3" s="1">
        <v>2.5499999999999998E-2</v>
      </c>
      <c r="M3">
        <v>30590</v>
      </c>
      <c r="N3" s="1">
        <v>2.7E-2</v>
      </c>
      <c r="O3">
        <v>4784887.8</v>
      </c>
      <c r="P3" s="1">
        <v>8.6599999999999996E-2</v>
      </c>
      <c r="Q3">
        <v>173404</v>
      </c>
      <c r="R3">
        <v>649367</v>
      </c>
      <c r="S3" s="1">
        <v>0.26700000000000002</v>
      </c>
      <c r="T3">
        <v>21</v>
      </c>
      <c r="U3">
        <v>3096</v>
      </c>
      <c r="Y3" t="s">
        <v>73</v>
      </c>
      <c r="Z3" t="s">
        <v>74</v>
      </c>
      <c r="AA3" t="s">
        <v>75</v>
      </c>
      <c r="AB3" s="2">
        <v>41953.841782407406</v>
      </c>
      <c r="AC3" t="s">
        <v>76</v>
      </c>
      <c r="AD3" t="s">
        <v>77</v>
      </c>
      <c r="AE3">
        <v>36209</v>
      </c>
      <c r="AF3" t="s">
        <v>78</v>
      </c>
      <c r="AG3" s="1">
        <v>0.98460000000000003</v>
      </c>
      <c r="AH3" t="s">
        <v>79</v>
      </c>
      <c r="AI3" t="s">
        <v>80</v>
      </c>
      <c r="AK3" s="3">
        <v>42240</v>
      </c>
      <c r="AL3" s="4">
        <v>0.92013888888888884</v>
      </c>
      <c r="AM3" t="s">
        <v>81</v>
      </c>
      <c r="AN3" t="s">
        <v>82</v>
      </c>
      <c r="AO3" t="s">
        <v>83</v>
      </c>
      <c r="AP3" t="s">
        <v>84</v>
      </c>
      <c r="AQ3" t="s">
        <v>85</v>
      </c>
      <c r="AR3" t="s">
        <v>86</v>
      </c>
      <c r="AS3" t="s">
        <v>87</v>
      </c>
      <c r="AT3" t="s">
        <v>88</v>
      </c>
      <c r="AU3" t="s">
        <v>89</v>
      </c>
      <c r="AV3" t="s">
        <v>90</v>
      </c>
      <c r="AW3" t="s">
        <v>91</v>
      </c>
      <c r="AX3" t="s">
        <v>92</v>
      </c>
      <c r="AY3" t="s">
        <v>93</v>
      </c>
      <c r="AZ3" t="s">
        <v>94</v>
      </c>
      <c r="BD3" t="s">
        <v>95</v>
      </c>
      <c r="BF3" t="s">
        <v>96</v>
      </c>
      <c r="BG3" t="s">
        <v>97</v>
      </c>
      <c r="BK3" t="s">
        <v>49</v>
      </c>
      <c r="BM3" t="s">
        <v>98</v>
      </c>
      <c r="BN3" t="s">
        <v>99</v>
      </c>
      <c r="BQ3" t="s">
        <v>100</v>
      </c>
      <c r="BR3" t="s">
        <v>101</v>
      </c>
    </row>
    <row r="4" spans="1:70" x14ac:dyDescent="0.25">
      <c r="A4">
        <v>2</v>
      </c>
      <c r="B4" t="s">
        <v>102</v>
      </c>
      <c r="C4" t="s">
        <v>103</v>
      </c>
      <c r="D4" t="s">
        <v>104</v>
      </c>
      <c r="E4">
        <v>104</v>
      </c>
      <c r="F4" s="1">
        <v>0.1827</v>
      </c>
      <c r="G4">
        <v>19</v>
      </c>
      <c r="H4">
        <v>19</v>
      </c>
      <c r="I4">
        <v>65359</v>
      </c>
      <c r="J4" t="s">
        <v>72</v>
      </c>
      <c r="K4">
        <v>21031</v>
      </c>
      <c r="L4" s="1">
        <v>2.46E-2</v>
      </c>
      <c r="M4">
        <v>35057</v>
      </c>
      <c r="N4" s="1">
        <v>3.09E-2</v>
      </c>
      <c r="O4">
        <v>666083</v>
      </c>
      <c r="P4" s="1">
        <v>1.21E-2</v>
      </c>
      <c r="Q4">
        <v>48530</v>
      </c>
      <c r="R4">
        <v>60393</v>
      </c>
      <c r="S4" s="1">
        <v>0.80359999999999998</v>
      </c>
      <c r="T4">
        <v>9</v>
      </c>
      <c r="U4">
        <v>3435</v>
      </c>
      <c r="Y4" t="s">
        <v>105</v>
      </c>
      <c r="Z4" t="s">
        <v>106</v>
      </c>
      <c r="AA4" t="s">
        <v>107</v>
      </c>
      <c r="AB4" s="2">
        <v>41705.549814814818</v>
      </c>
      <c r="AC4" t="s">
        <v>108</v>
      </c>
      <c r="AD4" t="s">
        <v>109</v>
      </c>
      <c r="AE4">
        <v>2754</v>
      </c>
      <c r="AF4" t="s">
        <v>78</v>
      </c>
      <c r="AG4" s="1">
        <v>0.98170000000000002</v>
      </c>
      <c r="AH4" t="s">
        <v>79</v>
      </c>
      <c r="AI4" t="s">
        <v>80</v>
      </c>
      <c r="AK4" s="3">
        <v>42244</v>
      </c>
      <c r="AL4" s="4">
        <v>0.63888888888888895</v>
      </c>
      <c r="AM4" t="s">
        <v>110</v>
      </c>
      <c r="AN4" t="s">
        <v>111</v>
      </c>
      <c r="AO4" t="s">
        <v>112</v>
      </c>
      <c r="AP4" t="s">
        <v>113</v>
      </c>
      <c r="AQ4" t="s">
        <v>85</v>
      </c>
      <c r="AR4" t="s">
        <v>114</v>
      </c>
      <c r="AS4" t="s">
        <v>115</v>
      </c>
      <c r="AT4" t="s">
        <v>116</v>
      </c>
      <c r="AU4" t="s">
        <v>89</v>
      </c>
      <c r="AV4" t="s">
        <v>117</v>
      </c>
      <c r="AW4" t="s">
        <v>118</v>
      </c>
      <c r="AX4" t="s">
        <v>119</v>
      </c>
      <c r="AY4" t="s">
        <v>93</v>
      </c>
      <c r="AZ4" t="s">
        <v>120</v>
      </c>
      <c r="BA4" t="s">
        <v>121</v>
      </c>
      <c r="BC4" t="s">
        <v>122</v>
      </c>
      <c r="BD4" t="s">
        <v>123</v>
      </c>
      <c r="BE4" t="s">
        <v>104</v>
      </c>
      <c r="BF4" t="s">
        <v>124</v>
      </c>
      <c r="BG4" t="s">
        <v>97</v>
      </c>
      <c r="BK4" t="s">
        <v>49</v>
      </c>
      <c r="BM4" t="s">
        <v>98</v>
      </c>
      <c r="BN4" t="s">
        <v>125</v>
      </c>
      <c r="BP4" t="s">
        <v>126</v>
      </c>
      <c r="BQ4" t="s">
        <v>127</v>
      </c>
      <c r="BR4" t="s">
        <v>128</v>
      </c>
    </row>
    <row r="5" spans="1:70" x14ac:dyDescent="0.25">
      <c r="A5">
        <v>3</v>
      </c>
      <c r="B5" t="s">
        <v>129</v>
      </c>
      <c r="C5" t="s">
        <v>130</v>
      </c>
      <c r="E5">
        <v>192</v>
      </c>
      <c r="F5" s="1">
        <v>0.1198</v>
      </c>
      <c r="G5">
        <v>23</v>
      </c>
      <c r="H5">
        <v>23</v>
      </c>
      <c r="I5">
        <v>945466</v>
      </c>
      <c r="J5" t="s">
        <v>72</v>
      </c>
      <c r="K5">
        <v>20824</v>
      </c>
      <c r="L5" s="1">
        <v>2.4299999999999999E-2</v>
      </c>
      <c r="M5">
        <v>25429</v>
      </c>
      <c r="N5" s="1">
        <v>2.24E-2</v>
      </c>
      <c r="O5">
        <v>584867</v>
      </c>
      <c r="P5" s="1">
        <v>1.06E-2</v>
      </c>
      <c r="Q5">
        <v>85198</v>
      </c>
      <c r="R5">
        <v>199658</v>
      </c>
      <c r="S5" s="1">
        <v>0.42670000000000002</v>
      </c>
      <c r="T5">
        <v>19</v>
      </c>
      <c r="U5">
        <v>15799</v>
      </c>
      <c r="Y5" t="s">
        <v>131</v>
      </c>
      <c r="Z5" t="s">
        <v>132</v>
      </c>
      <c r="AA5" t="s">
        <v>133</v>
      </c>
      <c r="AB5" s="2">
        <v>41681.994479166664</v>
      </c>
      <c r="AC5" t="s">
        <v>76</v>
      </c>
      <c r="AD5" t="s">
        <v>109</v>
      </c>
      <c r="AE5">
        <v>4594</v>
      </c>
      <c r="AF5" t="s">
        <v>78</v>
      </c>
      <c r="AG5" s="1">
        <v>0.9637</v>
      </c>
      <c r="AH5" t="s">
        <v>79</v>
      </c>
      <c r="AI5" t="s">
        <v>80</v>
      </c>
      <c r="AK5" s="3">
        <v>42242</v>
      </c>
      <c r="AL5" s="4">
        <v>0.90228009259259256</v>
      </c>
      <c r="AM5" t="s">
        <v>134</v>
      </c>
      <c r="AN5" t="s">
        <v>135</v>
      </c>
      <c r="AO5" t="s">
        <v>136</v>
      </c>
      <c r="AP5" t="s">
        <v>137</v>
      </c>
      <c r="AQ5" t="s">
        <v>85</v>
      </c>
      <c r="AR5" t="s">
        <v>86</v>
      </c>
      <c r="AV5" t="s">
        <v>138</v>
      </c>
      <c r="AX5" t="s">
        <v>139</v>
      </c>
      <c r="AY5" t="s">
        <v>93</v>
      </c>
      <c r="AZ5" t="s">
        <v>140</v>
      </c>
      <c r="BA5" t="s">
        <v>141</v>
      </c>
      <c r="BC5" t="s">
        <v>142</v>
      </c>
      <c r="BD5" t="s">
        <v>143</v>
      </c>
      <c r="BF5" t="s">
        <v>144</v>
      </c>
      <c r="BG5" t="s">
        <v>97</v>
      </c>
      <c r="BI5" t="s">
        <v>144</v>
      </c>
      <c r="BJ5" t="s">
        <v>145</v>
      </c>
      <c r="BK5" t="s">
        <v>63</v>
      </c>
      <c r="BL5" t="s">
        <v>146</v>
      </c>
      <c r="BM5" t="s">
        <v>147</v>
      </c>
      <c r="BN5" t="s">
        <v>148</v>
      </c>
      <c r="BP5" t="s">
        <v>149</v>
      </c>
      <c r="BQ5" t="s">
        <v>127</v>
      </c>
      <c r="BR5" t="s">
        <v>150</v>
      </c>
    </row>
    <row r="6" spans="1:70" x14ac:dyDescent="0.25">
      <c r="A6">
        <v>4</v>
      </c>
      <c r="B6" t="s">
        <v>151</v>
      </c>
      <c r="C6" t="s">
        <v>152</v>
      </c>
      <c r="D6" t="s">
        <v>153</v>
      </c>
      <c r="E6">
        <v>128</v>
      </c>
      <c r="F6" s="1">
        <v>0.1547</v>
      </c>
      <c r="G6">
        <v>19.8</v>
      </c>
      <c r="H6">
        <v>19.8</v>
      </c>
      <c r="I6">
        <v>733657</v>
      </c>
      <c r="J6" t="s">
        <v>72</v>
      </c>
      <c r="K6">
        <v>17668</v>
      </c>
      <c r="L6" s="1">
        <v>2.06E-2</v>
      </c>
      <c r="M6">
        <v>22725</v>
      </c>
      <c r="N6" s="1">
        <v>0.02</v>
      </c>
      <c r="O6">
        <v>449955</v>
      </c>
      <c r="P6" s="1">
        <v>8.0999999999999996E-3</v>
      </c>
      <c r="Q6">
        <v>105162</v>
      </c>
      <c r="R6" t="s">
        <v>154</v>
      </c>
      <c r="S6" t="s">
        <v>154</v>
      </c>
      <c r="T6">
        <v>179</v>
      </c>
      <c r="U6">
        <v>38269</v>
      </c>
      <c r="Z6" t="s">
        <v>155</v>
      </c>
      <c r="AA6" t="s">
        <v>156</v>
      </c>
      <c r="AB6" s="2">
        <v>41723.450532407405</v>
      </c>
      <c r="AC6" t="s">
        <v>157</v>
      </c>
      <c r="AD6" t="s">
        <v>158</v>
      </c>
      <c r="AE6">
        <v>308260</v>
      </c>
      <c r="AF6" t="s">
        <v>159</v>
      </c>
      <c r="AG6" s="1">
        <v>1</v>
      </c>
      <c r="AH6" t="s">
        <v>79</v>
      </c>
      <c r="AI6" t="s">
        <v>80</v>
      </c>
      <c r="AK6" s="3">
        <v>42245</v>
      </c>
      <c r="AL6" s="4">
        <v>0.42803240740740739</v>
      </c>
      <c r="AM6" t="s">
        <v>160</v>
      </c>
      <c r="AN6" t="s">
        <v>161</v>
      </c>
      <c r="AO6" t="s">
        <v>162</v>
      </c>
      <c r="AP6" t="s">
        <v>163</v>
      </c>
      <c r="AQ6" t="s">
        <v>85</v>
      </c>
      <c r="AR6" t="s">
        <v>164</v>
      </c>
      <c r="AT6" t="s">
        <v>88</v>
      </c>
      <c r="AU6" t="s">
        <v>89</v>
      </c>
      <c r="AV6" t="s">
        <v>165</v>
      </c>
      <c r="AW6" t="s">
        <v>91</v>
      </c>
      <c r="AX6" t="s">
        <v>166</v>
      </c>
      <c r="AY6" t="s">
        <v>93</v>
      </c>
      <c r="AZ6" t="s">
        <v>140</v>
      </c>
      <c r="BA6" t="s">
        <v>121</v>
      </c>
      <c r="BC6" t="s">
        <v>122</v>
      </c>
      <c r="BD6" t="s">
        <v>167</v>
      </c>
      <c r="BE6" t="s">
        <v>153</v>
      </c>
      <c r="BF6" t="s">
        <v>168</v>
      </c>
      <c r="BG6" t="s">
        <v>97</v>
      </c>
      <c r="BH6" t="s">
        <v>169</v>
      </c>
      <c r="BI6" t="s">
        <v>144</v>
      </c>
      <c r="BJ6" t="s">
        <v>170</v>
      </c>
      <c r="BK6" t="s">
        <v>49</v>
      </c>
      <c r="BM6" t="s">
        <v>171</v>
      </c>
      <c r="BN6" t="s">
        <v>125</v>
      </c>
      <c r="BP6" t="s">
        <v>126</v>
      </c>
      <c r="BQ6" t="s">
        <v>100</v>
      </c>
      <c r="BR6" t="s">
        <v>172</v>
      </c>
    </row>
    <row r="7" spans="1:70" x14ac:dyDescent="0.25">
      <c r="A7">
        <v>5</v>
      </c>
      <c r="B7" t="s">
        <v>173</v>
      </c>
      <c r="C7" t="s">
        <v>174</v>
      </c>
      <c r="D7">
        <v>99</v>
      </c>
      <c r="E7">
        <v>299</v>
      </c>
      <c r="F7" s="1">
        <v>9.9000000000000005E-2</v>
      </c>
      <c r="G7">
        <v>29.6</v>
      </c>
      <c r="H7">
        <v>29.6</v>
      </c>
      <c r="I7">
        <v>20259</v>
      </c>
      <c r="J7" t="s">
        <v>72</v>
      </c>
      <c r="K7">
        <v>17586</v>
      </c>
      <c r="L7" s="1">
        <v>2.0500000000000001E-2</v>
      </c>
      <c r="M7">
        <v>18265</v>
      </c>
      <c r="N7" s="1">
        <v>1.61E-2</v>
      </c>
      <c r="O7">
        <v>540644</v>
      </c>
      <c r="P7" s="1">
        <v>9.7999999999999997E-3</v>
      </c>
      <c r="Q7">
        <v>26748</v>
      </c>
      <c r="R7">
        <v>87202</v>
      </c>
      <c r="S7" s="1">
        <v>0.30669999999999997</v>
      </c>
      <c r="T7">
        <v>2</v>
      </c>
      <c r="U7">
        <v>6214</v>
      </c>
      <c r="Y7" t="s">
        <v>105</v>
      </c>
      <c r="Z7" t="s">
        <v>175</v>
      </c>
      <c r="AA7" t="s">
        <v>176</v>
      </c>
      <c r="AB7" s="2">
        <v>40990.533831018518</v>
      </c>
      <c r="AC7" t="s">
        <v>76</v>
      </c>
      <c r="AD7" t="s">
        <v>177</v>
      </c>
      <c r="AE7">
        <v>3680</v>
      </c>
      <c r="AF7" t="s">
        <v>78</v>
      </c>
      <c r="AG7" s="1">
        <v>0.8931</v>
      </c>
      <c r="AH7" t="s">
        <v>79</v>
      </c>
      <c r="AI7" t="s">
        <v>80</v>
      </c>
      <c r="AK7" s="3">
        <v>42243</v>
      </c>
      <c r="AL7" s="4">
        <v>0.96678240740740751</v>
      </c>
      <c r="AM7" t="s">
        <v>178</v>
      </c>
      <c r="AN7" t="s">
        <v>179</v>
      </c>
      <c r="AO7" t="s">
        <v>180</v>
      </c>
      <c r="AP7" t="s">
        <v>181</v>
      </c>
      <c r="AQ7" t="s">
        <v>85</v>
      </c>
      <c r="AR7" t="s">
        <v>86</v>
      </c>
      <c r="AS7" t="s">
        <v>115</v>
      </c>
      <c r="AT7" t="s">
        <v>88</v>
      </c>
      <c r="AU7" t="s">
        <v>89</v>
      </c>
      <c r="AV7" t="s">
        <v>182</v>
      </c>
      <c r="AX7" t="s">
        <v>92</v>
      </c>
      <c r="AY7" t="s">
        <v>93</v>
      </c>
      <c r="AZ7" t="s">
        <v>120</v>
      </c>
      <c r="BA7" t="s">
        <v>121</v>
      </c>
      <c r="BC7" t="s">
        <v>144</v>
      </c>
      <c r="BE7">
        <v>99</v>
      </c>
      <c r="BF7" t="s">
        <v>168</v>
      </c>
      <c r="BG7" t="s">
        <v>97</v>
      </c>
      <c r="BI7" t="s">
        <v>183</v>
      </c>
      <c r="BK7" t="s">
        <v>66</v>
      </c>
      <c r="BM7" t="s">
        <v>147</v>
      </c>
      <c r="BN7" t="s">
        <v>184</v>
      </c>
      <c r="BO7" t="s">
        <v>185</v>
      </c>
      <c r="BQ7" t="s">
        <v>127</v>
      </c>
      <c r="BR7" t="s">
        <v>186</v>
      </c>
    </row>
    <row r="8" spans="1:70" x14ac:dyDescent="0.25">
      <c r="A8">
        <v>6</v>
      </c>
      <c r="B8" t="s">
        <v>187</v>
      </c>
      <c r="C8" t="s">
        <v>188</v>
      </c>
      <c r="D8">
        <v>136</v>
      </c>
      <c r="E8">
        <v>88</v>
      </c>
      <c r="F8" s="1">
        <v>0.1789</v>
      </c>
      <c r="G8">
        <v>15.74</v>
      </c>
      <c r="H8">
        <v>15.74</v>
      </c>
      <c r="I8">
        <v>5830</v>
      </c>
      <c r="J8" t="s">
        <v>72</v>
      </c>
      <c r="K8">
        <v>16114</v>
      </c>
      <c r="L8" s="1">
        <v>1.8800000000000001E-2</v>
      </c>
      <c r="M8">
        <v>31284</v>
      </c>
      <c r="N8" s="1">
        <v>2.76E-2</v>
      </c>
      <c r="O8">
        <v>492410.16</v>
      </c>
      <c r="P8" s="1">
        <v>8.8999999999999999E-3</v>
      </c>
      <c r="Q8">
        <v>35684</v>
      </c>
      <c r="R8">
        <v>763048</v>
      </c>
      <c r="S8" s="1">
        <v>4.6800000000000001E-2</v>
      </c>
      <c r="T8">
        <v>277</v>
      </c>
      <c r="U8">
        <v>25728</v>
      </c>
      <c r="Y8" t="s">
        <v>189</v>
      </c>
      <c r="Z8" t="s">
        <v>190</v>
      </c>
      <c r="AA8" t="s">
        <v>191</v>
      </c>
      <c r="AB8" s="2">
        <v>40423.859097222223</v>
      </c>
      <c r="AC8" t="s">
        <v>192</v>
      </c>
      <c r="AD8" t="s">
        <v>193</v>
      </c>
      <c r="AE8">
        <v>13776</v>
      </c>
      <c r="AF8" t="s">
        <v>78</v>
      </c>
      <c r="AG8" s="1">
        <v>0.97340000000000004</v>
      </c>
      <c r="AH8" t="s">
        <v>79</v>
      </c>
      <c r="AI8" t="s">
        <v>80</v>
      </c>
      <c r="AK8" s="3">
        <v>42239</v>
      </c>
      <c r="AL8" s="4">
        <v>0.91535879629629635</v>
      </c>
      <c r="AM8" s="5">
        <v>0.15858796296296296</v>
      </c>
      <c r="AN8" t="s">
        <v>194</v>
      </c>
      <c r="AO8" t="s">
        <v>195</v>
      </c>
      <c r="AP8" t="s">
        <v>196</v>
      </c>
      <c r="AQ8" t="s">
        <v>85</v>
      </c>
      <c r="AR8" t="s">
        <v>86</v>
      </c>
      <c r="AT8" t="s">
        <v>116</v>
      </c>
      <c r="AV8" t="s">
        <v>197</v>
      </c>
      <c r="AX8" t="s">
        <v>198</v>
      </c>
      <c r="AY8" t="s">
        <v>199</v>
      </c>
      <c r="AZ8" t="s">
        <v>120</v>
      </c>
      <c r="BD8" t="s">
        <v>200</v>
      </c>
      <c r="BE8">
        <v>136</v>
      </c>
      <c r="BF8" t="s">
        <v>201</v>
      </c>
      <c r="BG8" t="s">
        <v>97</v>
      </c>
      <c r="BI8" t="s">
        <v>202</v>
      </c>
      <c r="BK8" t="s">
        <v>49</v>
      </c>
      <c r="BP8" t="s">
        <v>203</v>
      </c>
      <c r="BQ8" t="s">
        <v>100</v>
      </c>
      <c r="BR8" t="s">
        <v>204</v>
      </c>
    </row>
    <row r="9" spans="1:70" x14ac:dyDescent="0.25">
      <c r="A9">
        <v>7</v>
      </c>
      <c r="B9" t="s">
        <v>205</v>
      </c>
      <c r="C9" t="s">
        <v>206</v>
      </c>
      <c r="E9">
        <v>109</v>
      </c>
      <c r="F9" s="1">
        <v>0.2661</v>
      </c>
      <c r="G9">
        <v>29</v>
      </c>
      <c r="H9">
        <v>29</v>
      </c>
      <c r="I9">
        <v>1470592</v>
      </c>
      <c r="J9" t="s">
        <v>72</v>
      </c>
      <c r="K9">
        <v>14988</v>
      </c>
      <c r="L9" s="1">
        <v>1.7500000000000002E-2</v>
      </c>
      <c r="M9">
        <v>25069</v>
      </c>
      <c r="N9" s="1">
        <v>2.2100000000000002E-2</v>
      </c>
      <c r="O9">
        <v>727001</v>
      </c>
      <c r="P9" s="1">
        <v>1.32E-2</v>
      </c>
      <c r="Q9">
        <v>62724</v>
      </c>
      <c r="R9">
        <v>55138</v>
      </c>
      <c r="S9" s="1">
        <v>1.1375999999999999</v>
      </c>
      <c r="T9">
        <v>2</v>
      </c>
      <c r="U9">
        <v>770</v>
      </c>
      <c r="Y9" t="s">
        <v>207</v>
      </c>
      <c r="Z9" t="s">
        <v>175</v>
      </c>
      <c r="AA9" t="s">
        <v>208</v>
      </c>
      <c r="AB9" s="2">
        <v>42183.85527777778</v>
      </c>
      <c r="AC9" t="s">
        <v>209</v>
      </c>
      <c r="AD9" t="s">
        <v>210</v>
      </c>
      <c r="AE9">
        <v>8594</v>
      </c>
      <c r="AF9" t="s">
        <v>78</v>
      </c>
      <c r="AG9" s="1">
        <v>0.9627</v>
      </c>
      <c r="AH9" t="s">
        <v>79</v>
      </c>
      <c r="AI9" t="s">
        <v>80</v>
      </c>
      <c r="AK9" s="3">
        <v>42239</v>
      </c>
      <c r="AL9" s="4">
        <v>0.88596064814814823</v>
      </c>
      <c r="AM9" s="5">
        <v>0.12918981481481481</v>
      </c>
      <c r="AN9" t="s">
        <v>194</v>
      </c>
      <c r="AO9" t="s">
        <v>211</v>
      </c>
      <c r="AP9" t="s">
        <v>212</v>
      </c>
      <c r="AQ9" t="s">
        <v>213</v>
      </c>
      <c r="AR9" t="s">
        <v>214</v>
      </c>
      <c r="AS9" t="s">
        <v>115</v>
      </c>
      <c r="AT9" t="s">
        <v>88</v>
      </c>
      <c r="AU9" t="s">
        <v>89</v>
      </c>
      <c r="AV9" t="s">
        <v>215</v>
      </c>
      <c r="AW9" t="s">
        <v>216</v>
      </c>
      <c r="AX9" t="s">
        <v>92</v>
      </c>
      <c r="AZ9" t="s">
        <v>140</v>
      </c>
      <c r="BA9" t="s">
        <v>121</v>
      </c>
      <c r="BC9" t="s">
        <v>217</v>
      </c>
      <c r="BD9" t="s">
        <v>218</v>
      </c>
      <c r="BF9" t="s">
        <v>168</v>
      </c>
      <c r="BG9" t="s">
        <v>97</v>
      </c>
      <c r="BI9" t="s">
        <v>219</v>
      </c>
      <c r="BJ9" t="s">
        <v>145</v>
      </c>
      <c r="BK9" t="s">
        <v>49</v>
      </c>
      <c r="BM9" t="s">
        <v>171</v>
      </c>
      <c r="BN9" t="s">
        <v>125</v>
      </c>
      <c r="BP9" t="s">
        <v>149</v>
      </c>
      <c r="BQ9" t="s">
        <v>100</v>
      </c>
      <c r="BR9" t="s">
        <v>220</v>
      </c>
    </row>
    <row r="10" spans="1:70" x14ac:dyDescent="0.25">
      <c r="A10">
        <v>8</v>
      </c>
      <c r="B10" t="s">
        <v>221</v>
      </c>
      <c r="C10" t="s">
        <v>222</v>
      </c>
      <c r="E10">
        <v>89</v>
      </c>
      <c r="F10" s="1">
        <v>0.20219999999999999</v>
      </c>
      <c r="G10">
        <v>18</v>
      </c>
      <c r="H10">
        <v>18</v>
      </c>
      <c r="I10">
        <v>2489091</v>
      </c>
      <c r="J10" t="s">
        <v>72</v>
      </c>
      <c r="K10">
        <v>13841</v>
      </c>
      <c r="L10" s="1">
        <v>1.6199999999999999E-2</v>
      </c>
      <c r="M10">
        <v>18282</v>
      </c>
      <c r="N10" s="1">
        <v>1.61E-2</v>
      </c>
      <c r="O10">
        <v>329076</v>
      </c>
      <c r="P10" s="1">
        <v>6.0000000000000001E-3</v>
      </c>
      <c r="Q10">
        <v>38864</v>
      </c>
      <c r="R10">
        <v>29307</v>
      </c>
      <c r="S10" s="1">
        <v>1.3261000000000001</v>
      </c>
      <c r="T10">
        <v>2</v>
      </c>
      <c r="U10">
        <v>5834</v>
      </c>
      <c r="Y10" t="s">
        <v>105</v>
      </c>
      <c r="Z10" t="s">
        <v>175</v>
      </c>
      <c r="AA10" t="s">
        <v>223</v>
      </c>
      <c r="AB10" s="2">
        <v>41571.556886574072</v>
      </c>
      <c r="AC10" t="s">
        <v>224</v>
      </c>
      <c r="AD10" t="s">
        <v>193</v>
      </c>
      <c r="AE10">
        <v>10680</v>
      </c>
      <c r="AF10" t="s">
        <v>78</v>
      </c>
      <c r="AG10" s="1">
        <v>0.97489999999999999</v>
      </c>
      <c r="AH10" t="s">
        <v>79</v>
      </c>
      <c r="AI10" t="s">
        <v>80</v>
      </c>
      <c r="AK10" s="3">
        <v>42240</v>
      </c>
      <c r="AL10" s="4">
        <v>0.65258101851851846</v>
      </c>
      <c r="AM10" s="5">
        <v>0.89581018518518529</v>
      </c>
      <c r="AN10" t="s">
        <v>82</v>
      </c>
      <c r="AO10" t="s">
        <v>225</v>
      </c>
      <c r="AP10" t="s">
        <v>226</v>
      </c>
      <c r="AQ10" t="s">
        <v>85</v>
      </c>
      <c r="AR10" t="s">
        <v>114</v>
      </c>
      <c r="AT10" t="s">
        <v>88</v>
      </c>
      <c r="AU10" t="s">
        <v>89</v>
      </c>
      <c r="AV10" t="s">
        <v>227</v>
      </c>
      <c r="AW10" t="s">
        <v>91</v>
      </c>
      <c r="AX10" t="s">
        <v>228</v>
      </c>
      <c r="AY10" t="s">
        <v>229</v>
      </c>
      <c r="AZ10" t="s">
        <v>230</v>
      </c>
      <c r="BA10" t="s">
        <v>121</v>
      </c>
      <c r="BC10" t="s">
        <v>144</v>
      </c>
      <c r="BD10" t="s">
        <v>231</v>
      </c>
      <c r="BF10" t="s">
        <v>144</v>
      </c>
      <c r="BG10" t="s">
        <v>97</v>
      </c>
      <c r="BI10" t="s">
        <v>219</v>
      </c>
      <c r="BK10" t="s">
        <v>49</v>
      </c>
      <c r="BM10" t="s">
        <v>171</v>
      </c>
      <c r="BN10" t="s">
        <v>144</v>
      </c>
      <c r="BP10" t="s">
        <v>149</v>
      </c>
      <c r="BQ10" t="s">
        <v>100</v>
      </c>
      <c r="BR10" t="s">
        <v>232</v>
      </c>
    </row>
    <row r="11" spans="1:70" x14ac:dyDescent="0.25">
      <c r="A11">
        <v>9</v>
      </c>
      <c r="B11" t="s">
        <v>233</v>
      </c>
      <c r="C11" t="s">
        <v>234</v>
      </c>
      <c r="E11">
        <v>118</v>
      </c>
      <c r="F11" s="1">
        <v>0.32200000000000001</v>
      </c>
      <c r="G11">
        <v>38</v>
      </c>
      <c r="H11">
        <v>38</v>
      </c>
      <c r="I11">
        <v>12720</v>
      </c>
      <c r="J11" t="s">
        <v>72</v>
      </c>
      <c r="K11">
        <v>12729</v>
      </c>
      <c r="L11" s="1">
        <v>1.49E-2</v>
      </c>
      <c r="M11">
        <v>14498</v>
      </c>
      <c r="N11" s="1">
        <v>1.2800000000000001E-2</v>
      </c>
      <c r="O11">
        <v>550924</v>
      </c>
      <c r="P11" s="1">
        <v>0.01</v>
      </c>
      <c r="Q11">
        <v>111246</v>
      </c>
      <c r="R11">
        <v>654964</v>
      </c>
      <c r="S11" s="1">
        <v>0.1699</v>
      </c>
      <c r="T11">
        <v>68</v>
      </c>
      <c r="U11">
        <v>15242</v>
      </c>
      <c r="Y11" t="s">
        <v>131</v>
      </c>
      <c r="Z11" t="s">
        <v>175</v>
      </c>
      <c r="AA11" t="s">
        <v>235</v>
      </c>
      <c r="AB11" s="2">
        <v>41112.482210648152</v>
      </c>
      <c r="AC11" t="s">
        <v>236</v>
      </c>
      <c r="AD11" t="s">
        <v>237</v>
      </c>
      <c r="AE11">
        <v>139674</v>
      </c>
      <c r="AF11" t="s">
        <v>78</v>
      </c>
      <c r="AG11" s="1">
        <v>0.9849</v>
      </c>
      <c r="AH11" t="s">
        <v>79</v>
      </c>
      <c r="AI11" t="s">
        <v>80</v>
      </c>
      <c r="AK11" s="3">
        <v>42239</v>
      </c>
      <c r="AL11" s="4">
        <v>0.95984953703703713</v>
      </c>
      <c r="AM11" s="5">
        <v>0.20307870370370371</v>
      </c>
      <c r="AN11" t="s">
        <v>194</v>
      </c>
      <c r="AO11" t="s">
        <v>238</v>
      </c>
      <c r="AP11" t="s">
        <v>239</v>
      </c>
      <c r="AQ11" t="s">
        <v>213</v>
      </c>
      <c r="AT11" t="s">
        <v>88</v>
      </c>
      <c r="AU11" t="s">
        <v>240</v>
      </c>
      <c r="AV11" t="s">
        <v>241</v>
      </c>
      <c r="AX11" t="s">
        <v>92</v>
      </c>
      <c r="AY11" t="s">
        <v>199</v>
      </c>
      <c r="AZ11" t="s">
        <v>140</v>
      </c>
      <c r="BC11" t="s">
        <v>242</v>
      </c>
      <c r="BD11" t="s">
        <v>243</v>
      </c>
      <c r="BF11" t="s">
        <v>124</v>
      </c>
      <c r="BG11" t="s">
        <v>97</v>
      </c>
      <c r="BI11" t="s">
        <v>219</v>
      </c>
      <c r="BJ11" t="s">
        <v>244</v>
      </c>
      <c r="BK11" t="s">
        <v>63</v>
      </c>
      <c r="BL11" t="s">
        <v>245</v>
      </c>
      <c r="BM11" t="s">
        <v>98</v>
      </c>
      <c r="BQ11" t="s">
        <v>100</v>
      </c>
      <c r="BR11" t="s">
        <v>246</v>
      </c>
    </row>
    <row r="12" spans="1:70" x14ac:dyDescent="0.25">
      <c r="A12">
        <v>10</v>
      </c>
      <c r="B12" t="s">
        <v>247</v>
      </c>
      <c r="C12" t="s">
        <v>248</v>
      </c>
      <c r="D12">
        <v>0</v>
      </c>
      <c r="E12">
        <v>64</v>
      </c>
      <c r="F12" s="1">
        <v>0.3594</v>
      </c>
      <c r="G12">
        <v>23</v>
      </c>
      <c r="H12">
        <v>23</v>
      </c>
      <c r="I12">
        <v>1554</v>
      </c>
      <c r="J12" t="s">
        <v>72</v>
      </c>
      <c r="K12">
        <v>12668</v>
      </c>
      <c r="L12" s="1">
        <v>1.4800000000000001E-2</v>
      </c>
      <c r="M12">
        <v>15400</v>
      </c>
      <c r="N12" s="1">
        <v>1.3599999999999999E-2</v>
      </c>
      <c r="O12">
        <v>354200</v>
      </c>
      <c r="P12" s="1">
        <v>6.4000000000000003E-3</v>
      </c>
      <c r="Q12">
        <v>41830</v>
      </c>
      <c r="R12">
        <v>104826</v>
      </c>
      <c r="S12" s="1">
        <v>0.39900000000000002</v>
      </c>
      <c r="T12">
        <v>5</v>
      </c>
      <c r="U12">
        <v>2857</v>
      </c>
      <c r="Y12" t="s">
        <v>73</v>
      </c>
      <c r="Z12" t="s">
        <v>175</v>
      </c>
      <c r="AA12" t="s">
        <v>249</v>
      </c>
      <c r="AB12" s="2">
        <v>41945.813877314817</v>
      </c>
      <c r="AC12" t="s">
        <v>108</v>
      </c>
      <c r="AD12" t="s">
        <v>237</v>
      </c>
      <c r="AE12">
        <v>3932</v>
      </c>
      <c r="AF12" t="s">
        <v>78</v>
      </c>
      <c r="AG12" s="1">
        <v>0.98019999999999996</v>
      </c>
      <c r="AH12" t="s">
        <v>79</v>
      </c>
      <c r="AI12" t="s">
        <v>80</v>
      </c>
      <c r="AK12" s="3">
        <v>42241</v>
      </c>
      <c r="AL12" s="4">
        <v>0.91723379629629631</v>
      </c>
      <c r="AM12" t="s">
        <v>250</v>
      </c>
      <c r="AN12" t="s">
        <v>251</v>
      </c>
      <c r="AO12" t="s">
        <v>252</v>
      </c>
      <c r="AP12" t="s">
        <v>253</v>
      </c>
      <c r="AQ12" t="s">
        <v>85</v>
      </c>
      <c r="AR12" t="s">
        <v>86</v>
      </c>
      <c r="AU12" t="s">
        <v>89</v>
      </c>
      <c r="AV12" t="s">
        <v>254</v>
      </c>
      <c r="AW12" t="s">
        <v>91</v>
      </c>
      <c r="AX12" t="s">
        <v>255</v>
      </c>
      <c r="AY12" t="s">
        <v>256</v>
      </c>
      <c r="AZ12" t="s">
        <v>140</v>
      </c>
      <c r="BA12" t="s">
        <v>121</v>
      </c>
      <c r="BD12" t="s">
        <v>257</v>
      </c>
      <c r="BE12">
        <v>0</v>
      </c>
      <c r="BF12" t="s">
        <v>124</v>
      </c>
      <c r="BG12" t="s">
        <v>97</v>
      </c>
      <c r="BJ12" t="s">
        <v>145</v>
      </c>
      <c r="BK12" t="s">
        <v>49</v>
      </c>
      <c r="BM12" t="s">
        <v>171</v>
      </c>
      <c r="BN12" t="s">
        <v>144</v>
      </c>
      <c r="BP12" t="s">
        <v>149</v>
      </c>
      <c r="BR12" t="s">
        <v>258</v>
      </c>
    </row>
    <row r="13" spans="1:70" x14ac:dyDescent="0.25">
      <c r="A13">
        <v>11</v>
      </c>
      <c r="B13" t="s">
        <v>259</v>
      </c>
      <c r="C13" t="s">
        <v>260</v>
      </c>
      <c r="D13" t="s">
        <v>261</v>
      </c>
      <c r="E13">
        <v>103</v>
      </c>
      <c r="F13" s="1">
        <v>0.56310000000000004</v>
      </c>
      <c r="G13">
        <v>58</v>
      </c>
      <c r="H13">
        <v>58</v>
      </c>
      <c r="I13">
        <v>4545</v>
      </c>
      <c r="J13" t="s">
        <v>72</v>
      </c>
      <c r="K13">
        <v>11097</v>
      </c>
      <c r="L13" s="1">
        <v>1.2999999999999999E-2</v>
      </c>
      <c r="M13">
        <v>13899</v>
      </c>
      <c r="N13" s="1">
        <v>1.23E-2</v>
      </c>
      <c r="O13">
        <v>806142</v>
      </c>
      <c r="P13" s="1">
        <v>1.46E-2</v>
      </c>
      <c r="Q13">
        <v>71664</v>
      </c>
      <c r="R13" t="s">
        <v>154</v>
      </c>
      <c r="S13" t="s">
        <v>154</v>
      </c>
      <c r="T13">
        <v>20</v>
      </c>
      <c r="U13">
        <v>18384</v>
      </c>
      <c r="Z13" t="s">
        <v>175</v>
      </c>
      <c r="AA13" t="s">
        <v>262</v>
      </c>
      <c r="AB13" s="2">
        <v>41478.72587962963</v>
      </c>
      <c r="AC13" t="s">
        <v>192</v>
      </c>
      <c r="AD13" t="s">
        <v>77</v>
      </c>
      <c r="AE13">
        <v>51366</v>
      </c>
      <c r="AF13" t="s">
        <v>159</v>
      </c>
      <c r="AG13" s="1">
        <v>1</v>
      </c>
      <c r="AH13" t="s">
        <v>79</v>
      </c>
      <c r="AI13" t="s">
        <v>80</v>
      </c>
      <c r="AK13" s="3">
        <v>42242</v>
      </c>
      <c r="AL13" s="4">
        <v>0.72231481481481474</v>
      </c>
      <c r="AM13" t="s">
        <v>263</v>
      </c>
      <c r="AN13" t="s">
        <v>135</v>
      </c>
      <c r="AO13" t="s">
        <v>264</v>
      </c>
      <c r="AP13" t="s">
        <v>265</v>
      </c>
      <c r="AQ13" t="s">
        <v>144</v>
      </c>
      <c r="AR13" t="s">
        <v>164</v>
      </c>
      <c r="AT13" t="s">
        <v>88</v>
      </c>
      <c r="AU13" t="s">
        <v>89</v>
      </c>
      <c r="AV13" t="s">
        <v>266</v>
      </c>
      <c r="AW13" t="s">
        <v>267</v>
      </c>
      <c r="AX13" t="s">
        <v>268</v>
      </c>
      <c r="AY13" t="s">
        <v>93</v>
      </c>
      <c r="AZ13" t="s">
        <v>230</v>
      </c>
      <c r="BA13" t="s">
        <v>121</v>
      </c>
      <c r="BB13" t="s">
        <v>269</v>
      </c>
      <c r="BC13" t="s">
        <v>242</v>
      </c>
      <c r="BD13" t="s">
        <v>270</v>
      </c>
      <c r="BE13" t="s">
        <v>261</v>
      </c>
      <c r="BF13" t="s">
        <v>271</v>
      </c>
      <c r="BG13" t="s">
        <v>97</v>
      </c>
      <c r="BH13" t="s">
        <v>272</v>
      </c>
      <c r="BI13" t="s">
        <v>273</v>
      </c>
      <c r="BJ13" t="s">
        <v>274</v>
      </c>
      <c r="BK13" t="s">
        <v>49</v>
      </c>
      <c r="BM13" t="s">
        <v>171</v>
      </c>
      <c r="BN13" t="s">
        <v>125</v>
      </c>
      <c r="BP13" t="s">
        <v>126</v>
      </c>
      <c r="BQ13" t="s">
        <v>100</v>
      </c>
      <c r="BR13" t="s">
        <v>275</v>
      </c>
    </row>
    <row r="14" spans="1:70" x14ac:dyDescent="0.25">
      <c r="A14">
        <v>12</v>
      </c>
      <c r="B14" t="s">
        <v>276</v>
      </c>
      <c r="C14" t="s">
        <v>277</v>
      </c>
      <c r="D14" t="s">
        <v>278</v>
      </c>
      <c r="E14">
        <v>428</v>
      </c>
      <c r="F14" s="1">
        <v>7.51E-2</v>
      </c>
      <c r="G14">
        <v>32.14</v>
      </c>
      <c r="H14">
        <v>32.14</v>
      </c>
      <c r="I14">
        <v>10597</v>
      </c>
      <c r="J14" t="s">
        <v>72</v>
      </c>
      <c r="K14">
        <v>10980</v>
      </c>
      <c r="L14" s="1">
        <v>1.2800000000000001E-2</v>
      </c>
      <c r="M14">
        <v>11642</v>
      </c>
      <c r="N14" s="1">
        <v>1.03E-2</v>
      </c>
      <c r="O14">
        <v>374173.88</v>
      </c>
      <c r="P14" s="1">
        <v>6.7999999999999996E-3</v>
      </c>
      <c r="Q14">
        <v>49080</v>
      </c>
      <c r="R14">
        <v>58539</v>
      </c>
      <c r="S14" s="1">
        <v>0.83840000000000003</v>
      </c>
      <c r="T14">
        <v>3</v>
      </c>
      <c r="U14">
        <v>4712</v>
      </c>
      <c r="Y14" t="s">
        <v>105</v>
      </c>
      <c r="Z14" t="s">
        <v>74</v>
      </c>
      <c r="AA14" t="s">
        <v>279</v>
      </c>
      <c r="AB14" s="2">
        <v>40356.066342592596</v>
      </c>
      <c r="AC14" t="s">
        <v>108</v>
      </c>
      <c r="AD14" t="s">
        <v>237</v>
      </c>
      <c r="AE14">
        <v>2128</v>
      </c>
      <c r="AF14" t="s">
        <v>78</v>
      </c>
      <c r="AG14" s="1">
        <v>0.94799999999999995</v>
      </c>
      <c r="AH14" t="s">
        <v>79</v>
      </c>
      <c r="AI14" t="s">
        <v>80</v>
      </c>
      <c r="AK14" s="3">
        <v>42241</v>
      </c>
      <c r="AL14" s="4">
        <v>0.87515046296296306</v>
      </c>
      <c r="AM14" t="s">
        <v>280</v>
      </c>
      <c r="AN14" t="s">
        <v>251</v>
      </c>
      <c r="AO14" t="s">
        <v>281</v>
      </c>
      <c r="AP14" t="s">
        <v>282</v>
      </c>
      <c r="AQ14" t="s">
        <v>85</v>
      </c>
      <c r="AR14" t="s">
        <v>283</v>
      </c>
      <c r="AS14" t="s">
        <v>87</v>
      </c>
      <c r="AT14" t="s">
        <v>284</v>
      </c>
      <c r="AU14" t="s">
        <v>285</v>
      </c>
      <c r="AV14" t="s">
        <v>286</v>
      </c>
      <c r="AW14" t="s">
        <v>91</v>
      </c>
      <c r="AX14" t="s">
        <v>287</v>
      </c>
      <c r="AY14" t="s">
        <v>256</v>
      </c>
      <c r="AZ14" t="s">
        <v>94</v>
      </c>
      <c r="BE14" t="s">
        <v>278</v>
      </c>
      <c r="BF14" t="s">
        <v>168</v>
      </c>
      <c r="BG14" t="s">
        <v>97</v>
      </c>
      <c r="BI14" t="s">
        <v>219</v>
      </c>
      <c r="BJ14" t="s">
        <v>288</v>
      </c>
      <c r="BK14" t="s">
        <v>49</v>
      </c>
      <c r="BM14" t="s">
        <v>171</v>
      </c>
      <c r="BN14" t="s">
        <v>184</v>
      </c>
      <c r="BQ14" t="s">
        <v>100</v>
      </c>
      <c r="BR14" t="s">
        <v>289</v>
      </c>
    </row>
    <row r="15" spans="1:70" x14ac:dyDescent="0.25">
      <c r="A15">
        <v>13</v>
      </c>
      <c r="B15" t="s">
        <v>290</v>
      </c>
      <c r="C15" t="s">
        <v>291</v>
      </c>
      <c r="D15" t="s">
        <v>292</v>
      </c>
      <c r="E15">
        <v>498</v>
      </c>
      <c r="F15" s="1">
        <v>5.96E-2</v>
      </c>
      <c r="G15">
        <v>29.7</v>
      </c>
      <c r="H15">
        <v>29.7</v>
      </c>
      <c r="I15">
        <v>102289</v>
      </c>
      <c r="J15">
        <v>5</v>
      </c>
      <c r="K15">
        <v>10964</v>
      </c>
      <c r="L15" s="1">
        <v>1.2800000000000001E-2</v>
      </c>
      <c r="M15">
        <v>14074</v>
      </c>
      <c r="N15" s="1">
        <v>1.24E-2</v>
      </c>
      <c r="O15">
        <v>417997.8</v>
      </c>
      <c r="P15" s="1">
        <v>7.6E-3</v>
      </c>
      <c r="Q15">
        <v>54144</v>
      </c>
      <c r="R15" t="s">
        <v>154</v>
      </c>
      <c r="S15" t="s">
        <v>154</v>
      </c>
      <c r="T15">
        <v>10</v>
      </c>
      <c r="U15">
        <v>10971</v>
      </c>
      <c r="W15" t="s">
        <v>293</v>
      </c>
      <c r="Z15" t="s">
        <v>74</v>
      </c>
      <c r="AA15" t="s">
        <v>294</v>
      </c>
      <c r="AB15" s="2">
        <v>41746.486747685187</v>
      </c>
      <c r="AC15" t="s">
        <v>192</v>
      </c>
      <c r="AD15" t="s">
        <v>158</v>
      </c>
      <c r="AE15">
        <v>45399</v>
      </c>
      <c r="AF15" t="s">
        <v>159</v>
      </c>
      <c r="AG15" s="1">
        <v>1</v>
      </c>
      <c r="AH15" t="s">
        <v>79</v>
      </c>
      <c r="AI15" t="s">
        <v>80</v>
      </c>
      <c r="AK15" s="3">
        <v>42244</v>
      </c>
      <c r="AL15" s="4">
        <v>0.66400462962962969</v>
      </c>
      <c r="AM15" t="s">
        <v>295</v>
      </c>
      <c r="AN15" t="s">
        <v>111</v>
      </c>
      <c r="AO15" t="s">
        <v>296</v>
      </c>
      <c r="AP15" t="s">
        <v>297</v>
      </c>
      <c r="AQ15" t="s">
        <v>85</v>
      </c>
      <c r="AR15" t="s">
        <v>164</v>
      </c>
      <c r="AS15" t="s">
        <v>115</v>
      </c>
      <c r="AT15" t="s">
        <v>88</v>
      </c>
      <c r="AU15" t="s">
        <v>89</v>
      </c>
      <c r="AV15" t="s">
        <v>298</v>
      </c>
      <c r="AW15" t="s">
        <v>267</v>
      </c>
      <c r="AX15" t="s">
        <v>299</v>
      </c>
      <c r="AY15" t="s">
        <v>199</v>
      </c>
      <c r="AZ15" t="s">
        <v>120</v>
      </c>
      <c r="BA15" t="s">
        <v>121</v>
      </c>
      <c r="BB15" t="s">
        <v>269</v>
      </c>
      <c r="BC15" t="s">
        <v>242</v>
      </c>
      <c r="BD15" t="s">
        <v>300</v>
      </c>
      <c r="BE15" t="s">
        <v>292</v>
      </c>
      <c r="BF15" t="s">
        <v>124</v>
      </c>
      <c r="BG15" t="s">
        <v>97</v>
      </c>
      <c r="BH15" t="s">
        <v>272</v>
      </c>
      <c r="BI15" t="s">
        <v>219</v>
      </c>
      <c r="BJ15" t="s">
        <v>301</v>
      </c>
      <c r="BK15" t="s">
        <v>49</v>
      </c>
      <c r="BM15" t="s">
        <v>171</v>
      </c>
      <c r="BN15" t="s">
        <v>125</v>
      </c>
      <c r="BP15" t="s">
        <v>126</v>
      </c>
      <c r="BQ15" t="s">
        <v>100</v>
      </c>
      <c r="BR15" t="s">
        <v>302</v>
      </c>
    </row>
    <row r="16" spans="1:70" x14ac:dyDescent="0.25">
      <c r="A16">
        <v>14</v>
      </c>
      <c r="B16" t="s">
        <v>303</v>
      </c>
      <c r="C16" t="s">
        <v>304</v>
      </c>
      <c r="E16">
        <v>138</v>
      </c>
      <c r="F16" s="1">
        <v>0.22459999999999999</v>
      </c>
      <c r="G16">
        <v>31</v>
      </c>
      <c r="H16">
        <v>31</v>
      </c>
      <c r="I16">
        <v>50031</v>
      </c>
      <c r="J16" t="s">
        <v>72</v>
      </c>
      <c r="K16">
        <v>10740</v>
      </c>
      <c r="L16" s="1">
        <v>1.2500000000000001E-2</v>
      </c>
      <c r="M16">
        <v>12348</v>
      </c>
      <c r="N16" s="1">
        <v>1.09E-2</v>
      </c>
      <c r="O16">
        <v>382788</v>
      </c>
      <c r="P16" s="1">
        <v>6.8999999999999999E-3</v>
      </c>
      <c r="Q16">
        <v>60956</v>
      </c>
      <c r="R16">
        <v>119568</v>
      </c>
      <c r="S16" s="1">
        <v>0.50980000000000003</v>
      </c>
      <c r="T16">
        <v>7</v>
      </c>
      <c r="U16">
        <v>6754</v>
      </c>
      <c r="Y16" t="s">
        <v>305</v>
      </c>
      <c r="Z16" t="s">
        <v>74</v>
      </c>
      <c r="AA16" t="s">
        <v>306</v>
      </c>
      <c r="AB16" s="2">
        <v>41300.350659722222</v>
      </c>
      <c r="AC16" t="s">
        <v>76</v>
      </c>
      <c r="AD16" t="s">
        <v>307</v>
      </c>
      <c r="AE16">
        <v>6812</v>
      </c>
      <c r="AF16" t="s">
        <v>78</v>
      </c>
      <c r="AG16" s="1">
        <v>0.97219999999999995</v>
      </c>
      <c r="AH16" t="s">
        <v>79</v>
      </c>
      <c r="AI16" t="s">
        <v>80</v>
      </c>
      <c r="AK16" s="3">
        <v>42240</v>
      </c>
      <c r="AL16" s="4">
        <v>0.875</v>
      </c>
      <c r="AM16" t="s">
        <v>308</v>
      </c>
      <c r="AN16" t="s">
        <v>82</v>
      </c>
      <c r="AO16" t="s">
        <v>309</v>
      </c>
      <c r="AP16" t="s">
        <v>310</v>
      </c>
      <c r="AQ16" t="s">
        <v>85</v>
      </c>
      <c r="AR16" t="s">
        <v>214</v>
      </c>
      <c r="AS16" t="s">
        <v>115</v>
      </c>
      <c r="AT16" t="s">
        <v>88</v>
      </c>
      <c r="AU16" t="s">
        <v>89</v>
      </c>
      <c r="AV16" t="s">
        <v>311</v>
      </c>
      <c r="AX16" t="s">
        <v>287</v>
      </c>
      <c r="AY16" t="s">
        <v>312</v>
      </c>
      <c r="AZ16" t="s">
        <v>94</v>
      </c>
      <c r="BC16" t="s">
        <v>313</v>
      </c>
      <c r="BD16" t="s">
        <v>314</v>
      </c>
      <c r="BF16" t="s">
        <v>168</v>
      </c>
      <c r="BG16" t="s">
        <v>97</v>
      </c>
      <c r="BI16" t="s">
        <v>219</v>
      </c>
      <c r="BK16" t="s">
        <v>63</v>
      </c>
      <c r="BL16" t="s">
        <v>315</v>
      </c>
      <c r="BM16" t="s">
        <v>98</v>
      </c>
      <c r="BN16" t="s">
        <v>99</v>
      </c>
      <c r="BP16" t="s">
        <v>149</v>
      </c>
      <c r="BQ16" t="s">
        <v>100</v>
      </c>
      <c r="BR16" t="s">
        <v>316</v>
      </c>
    </row>
    <row r="17" spans="1:70" x14ac:dyDescent="0.25">
      <c r="A17">
        <v>15</v>
      </c>
      <c r="B17" t="s">
        <v>317</v>
      </c>
      <c r="C17" t="s">
        <v>318</v>
      </c>
      <c r="E17">
        <v>87</v>
      </c>
      <c r="F17" s="1">
        <v>0.8</v>
      </c>
      <c r="G17">
        <v>69.599999999999994</v>
      </c>
      <c r="H17">
        <v>69.599999999999994</v>
      </c>
      <c r="I17">
        <v>1530</v>
      </c>
      <c r="J17" t="s">
        <v>72</v>
      </c>
      <c r="K17">
        <v>10634</v>
      </c>
      <c r="L17" s="1">
        <v>1.24E-2</v>
      </c>
      <c r="M17">
        <v>11950</v>
      </c>
      <c r="N17" s="1">
        <v>1.0500000000000001E-2</v>
      </c>
      <c r="O17">
        <v>831720</v>
      </c>
      <c r="P17" s="1">
        <v>1.5100000000000001E-2</v>
      </c>
      <c r="Q17">
        <v>120364</v>
      </c>
      <c r="R17">
        <v>252509</v>
      </c>
      <c r="S17" s="1">
        <v>0.47670000000000001</v>
      </c>
      <c r="T17">
        <v>4</v>
      </c>
      <c r="U17">
        <v>9848</v>
      </c>
      <c r="W17" t="s">
        <v>319</v>
      </c>
      <c r="Y17" t="s">
        <v>320</v>
      </c>
      <c r="Z17" t="s">
        <v>74</v>
      </c>
      <c r="AA17" t="s">
        <v>321</v>
      </c>
      <c r="AB17" s="2">
        <v>39643.92465277778</v>
      </c>
      <c r="AC17" t="s">
        <v>322</v>
      </c>
      <c r="AD17" t="s">
        <v>323</v>
      </c>
      <c r="AE17">
        <v>1458842</v>
      </c>
      <c r="AF17" t="s">
        <v>78</v>
      </c>
      <c r="AG17" s="1">
        <v>0.98819999999999997</v>
      </c>
      <c r="AH17" t="s">
        <v>79</v>
      </c>
      <c r="AI17" t="s">
        <v>80</v>
      </c>
      <c r="AK17" s="3">
        <v>42239</v>
      </c>
      <c r="AL17" s="4">
        <v>0.92184027777777777</v>
      </c>
      <c r="AM17" s="5">
        <v>0.16506944444444446</v>
      </c>
      <c r="AN17" t="s">
        <v>194</v>
      </c>
      <c r="AO17" t="s">
        <v>324</v>
      </c>
      <c r="AP17" t="s">
        <v>325</v>
      </c>
      <c r="AQ17" t="s">
        <v>85</v>
      </c>
      <c r="AR17" t="s">
        <v>86</v>
      </c>
      <c r="AT17" t="s">
        <v>88</v>
      </c>
      <c r="AU17" t="s">
        <v>89</v>
      </c>
      <c r="AV17" t="s">
        <v>227</v>
      </c>
      <c r="AX17" t="s">
        <v>287</v>
      </c>
      <c r="AY17" t="s">
        <v>326</v>
      </c>
      <c r="AZ17" t="s">
        <v>140</v>
      </c>
      <c r="BA17" t="s">
        <v>121</v>
      </c>
      <c r="BC17" t="s">
        <v>242</v>
      </c>
      <c r="BD17" t="s">
        <v>243</v>
      </c>
      <c r="BF17" t="s">
        <v>144</v>
      </c>
      <c r="BG17" t="s">
        <v>97</v>
      </c>
      <c r="BI17" t="s">
        <v>327</v>
      </c>
      <c r="BK17" t="s">
        <v>63</v>
      </c>
      <c r="BL17" t="s">
        <v>245</v>
      </c>
      <c r="BM17" t="s">
        <v>328</v>
      </c>
      <c r="BP17" t="s">
        <v>149</v>
      </c>
      <c r="BQ17" t="s">
        <v>329</v>
      </c>
      <c r="BR17" t="s">
        <v>330</v>
      </c>
    </row>
    <row r="18" spans="1:70" x14ac:dyDescent="0.25">
      <c r="A18">
        <v>16</v>
      </c>
      <c r="B18" t="s">
        <v>331</v>
      </c>
      <c r="C18" t="s">
        <v>332</v>
      </c>
      <c r="E18">
        <v>262</v>
      </c>
      <c r="F18" s="1">
        <v>9.1600000000000001E-2</v>
      </c>
      <c r="G18">
        <v>24</v>
      </c>
      <c r="H18">
        <v>24</v>
      </c>
      <c r="I18">
        <v>457803</v>
      </c>
      <c r="J18" t="s">
        <v>72</v>
      </c>
      <c r="K18">
        <v>10333</v>
      </c>
      <c r="L18" s="1">
        <v>1.21E-2</v>
      </c>
      <c r="M18">
        <v>11330</v>
      </c>
      <c r="N18" s="1">
        <v>0.01</v>
      </c>
      <c r="O18">
        <v>271920</v>
      </c>
      <c r="P18" s="1">
        <v>4.8999999999999998E-3</v>
      </c>
      <c r="Q18">
        <v>66934</v>
      </c>
      <c r="R18">
        <v>44914</v>
      </c>
      <c r="S18" s="1">
        <v>1.4903</v>
      </c>
      <c r="T18">
        <v>3</v>
      </c>
      <c r="U18">
        <v>2226</v>
      </c>
      <c r="Y18" t="s">
        <v>105</v>
      </c>
      <c r="Z18" t="s">
        <v>175</v>
      </c>
      <c r="AA18" t="s">
        <v>333</v>
      </c>
      <c r="AB18" s="2">
        <v>41568.555879629632</v>
      </c>
      <c r="AC18" t="s">
        <v>224</v>
      </c>
      <c r="AD18" t="s">
        <v>334</v>
      </c>
      <c r="AE18">
        <v>12566</v>
      </c>
      <c r="AF18" t="s">
        <v>78</v>
      </c>
      <c r="AG18" s="1">
        <v>0.94430000000000003</v>
      </c>
      <c r="AH18" t="s">
        <v>79</v>
      </c>
      <c r="AI18" t="s">
        <v>80</v>
      </c>
      <c r="AK18" s="3">
        <v>42245</v>
      </c>
      <c r="AL18" s="4">
        <v>0.91901620370370374</v>
      </c>
      <c r="AM18" t="s">
        <v>335</v>
      </c>
      <c r="AN18" t="s">
        <v>161</v>
      </c>
      <c r="AO18" t="s">
        <v>336</v>
      </c>
      <c r="AP18" t="s">
        <v>337</v>
      </c>
      <c r="AQ18" t="s">
        <v>85</v>
      </c>
      <c r="AR18" t="s">
        <v>86</v>
      </c>
      <c r="AT18" t="s">
        <v>88</v>
      </c>
      <c r="AU18" t="s">
        <v>240</v>
      </c>
      <c r="AV18" t="s">
        <v>338</v>
      </c>
      <c r="AW18" t="s">
        <v>267</v>
      </c>
      <c r="AX18" t="s">
        <v>92</v>
      </c>
      <c r="AY18" t="s">
        <v>256</v>
      </c>
      <c r="AZ18" t="s">
        <v>120</v>
      </c>
      <c r="BA18" t="s">
        <v>121</v>
      </c>
      <c r="BC18" t="s">
        <v>339</v>
      </c>
      <c r="BD18" t="s">
        <v>340</v>
      </c>
      <c r="BF18" t="s">
        <v>201</v>
      </c>
      <c r="BG18" t="s">
        <v>97</v>
      </c>
      <c r="BI18" t="s">
        <v>183</v>
      </c>
      <c r="BK18" t="s">
        <v>49</v>
      </c>
      <c r="BM18" t="s">
        <v>98</v>
      </c>
      <c r="BN18" t="s">
        <v>184</v>
      </c>
      <c r="BP18" t="s">
        <v>149</v>
      </c>
      <c r="BQ18" t="s">
        <v>127</v>
      </c>
      <c r="BR18" t="s">
        <v>341</v>
      </c>
    </row>
    <row r="19" spans="1:70" x14ac:dyDescent="0.25">
      <c r="A19">
        <v>17</v>
      </c>
      <c r="B19" t="s">
        <v>342</v>
      </c>
      <c r="C19" t="s">
        <v>343</v>
      </c>
      <c r="D19" t="s">
        <v>344</v>
      </c>
      <c r="E19">
        <v>127</v>
      </c>
      <c r="F19" s="1">
        <v>0.21260000000000001</v>
      </c>
      <c r="G19">
        <v>27</v>
      </c>
      <c r="H19">
        <v>27</v>
      </c>
      <c r="I19">
        <v>185972</v>
      </c>
      <c r="J19" t="s">
        <v>72</v>
      </c>
      <c r="K19">
        <v>10281</v>
      </c>
      <c r="L19" s="1">
        <v>1.2E-2</v>
      </c>
      <c r="M19">
        <v>12390</v>
      </c>
      <c r="N19" s="1">
        <v>1.09E-2</v>
      </c>
      <c r="O19">
        <v>334530</v>
      </c>
      <c r="P19" s="1">
        <v>6.1000000000000004E-3</v>
      </c>
      <c r="Q19">
        <v>85032</v>
      </c>
      <c r="R19">
        <v>77105</v>
      </c>
      <c r="S19" s="1">
        <v>1.1028</v>
      </c>
      <c r="T19">
        <v>9</v>
      </c>
      <c r="U19">
        <v>5282</v>
      </c>
      <c r="W19" t="s">
        <v>345</v>
      </c>
      <c r="Y19" t="s">
        <v>73</v>
      </c>
      <c r="Z19" t="s">
        <v>74</v>
      </c>
      <c r="AA19" t="s">
        <v>346</v>
      </c>
      <c r="AB19" s="2">
        <v>41620.014930555553</v>
      </c>
      <c r="AC19" t="s">
        <v>224</v>
      </c>
      <c r="AD19" t="s">
        <v>307</v>
      </c>
      <c r="AE19">
        <v>31264</v>
      </c>
      <c r="AF19" t="s">
        <v>78</v>
      </c>
      <c r="AG19" s="1">
        <v>0.98580000000000001</v>
      </c>
      <c r="AH19" t="s">
        <v>79</v>
      </c>
      <c r="AI19" t="s">
        <v>80</v>
      </c>
      <c r="AK19" s="3">
        <v>42245</v>
      </c>
      <c r="AL19" s="4">
        <v>0.875</v>
      </c>
      <c r="AM19" t="s">
        <v>347</v>
      </c>
      <c r="AN19" t="s">
        <v>161</v>
      </c>
      <c r="AO19" t="s">
        <v>348</v>
      </c>
      <c r="AP19" t="s">
        <v>349</v>
      </c>
      <c r="AQ19" t="s">
        <v>213</v>
      </c>
      <c r="AR19" t="s">
        <v>164</v>
      </c>
      <c r="AT19" t="s">
        <v>116</v>
      </c>
      <c r="AU19" t="s">
        <v>89</v>
      </c>
      <c r="AV19" t="s">
        <v>350</v>
      </c>
      <c r="AW19" t="s">
        <v>91</v>
      </c>
      <c r="AX19" t="s">
        <v>351</v>
      </c>
      <c r="AY19" t="s">
        <v>93</v>
      </c>
      <c r="AZ19" t="s">
        <v>120</v>
      </c>
      <c r="BA19" t="s">
        <v>121</v>
      </c>
      <c r="BC19" t="s">
        <v>313</v>
      </c>
      <c r="BE19" t="s">
        <v>344</v>
      </c>
      <c r="BF19" t="s">
        <v>352</v>
      </c>
      <c r="BG19" t="s">
        <v>97</v>
      </c>
      <c r="BI19" t="s">
        <v>219</v>
      </c>
      <c r="BJ19" t="s">
        <v>353</v>
      </c>
      <c r="BK19" t="s">
        <v>49</v>
      </c>
      <c r="BM19" t="s">
        <v>98</v>
      </c>
      <c r="BN19" t="s">
        <v>184</v>
      </c>
      <c r="BQ19" t="s">
        <v>100</v>
      </c>
      <c r="BR19" t="s">
        <v>354</v>
      </c>
    </row>
    <row r="20" spans="1:70" x14ac:dyDescent="0.25">
      <c r="A20">
        <v>18</v>
      </c>
      <c r="B20" t="s">
        <v>355</v>
      </c>
      <c r="C20" t="s">
        <v>356</v>
      </c>
      <c r="E20">
        <v>89</v>
      </c>
      <c r="F20" s="1">
        <v>0.32469999999999999</v>
      </c>
      <c r="G20">
        <v>28.9</v>
      </c>
      <c r="H20">
        <v>28.9</v>
      </c>
      <c r="I20">
        <v>173717</v>
      </c>
      <c r="J20" t="s">
        <v>72</v>
      </c>
      <c r="K20">
        <v>10127</v>
      </c>
      <c r="L20" s="1">
        <v>1.18E-2</v>
      </c>
      <c r="M20">
        <v>13577</v>
      </c>
      <c r="N20" s="1">
        <v>1.2E-2</v>
      </c>
      <c r="O20">
        <v>392375.3</v>
      </c>
      <c r="P20" s="1">
        <v>7.1000000000000004E-3</v>
      </c>
      <c r="Q20">
        <v>29294</v>
      </c>
      <c r="R20">
        <v>57926</v>
      </c>
      <c r="S20" s="1">
        <v>0.50570000000000004</v>
      </c>
      <c r="T20">
        <v>9</v>
      </c>
      <c r="U20">
        <v>4994</v>
      </c>
      <c r="Y20" t="s">
        <v>189</v>
      </c>
      <c r="Z20" t="s">
        <v>74</v>
      </c>
      <c r="AA20" t="s">
        <v>357</v>
      </c>
      <c r="AB20" s="2">
        <v>40771.765266203707</v>
      </c>
      <c r="AC20" t="s">
        <v>224</v>
      </c>
      <c r="AD20" t="s">
        <v>358</v>
      </c>
      <c r="AE20">
        <v>12999</v>
      </c>
      <c r="AF20" t="s">
        <v>78</v>
      </c>
      <c r="AG20" s="1">
        <v>0.98740000000000006</v>
      </c>
      <c r="AH20" t="s">
        <v>79</v>
      </c>
      <c r="AI20" t="s">
        <v>80</v>
      </c>
      <c r="AK20" s="3">
        <v>42241</v>
      </c>
      <c r="AL20" s="4">
        <v>0.67261574074074071</v>
      </c>
      <c r="AM20" t="s">
        <v>359</v>
      </c>
      <c r="AN20" t="s">
        <v>251</v>
      </c>
      <c r="AO20" t="s">
        <v>360</v>
      </c>
      <c r="AP20" t="s">
        <v>361</v>
      </c>
      <c r="AQ20" t="s">
        <v>85</v>
      </c>
      <c r="AR20" t="s">
        <v>283</v>
      </c>
      <c r="AS20" t="s">
        <v>87</v>
      </c>
      <c r="AT20" t="s">
        <v>88</v>
      </c>
      <c r="AU20" t="s">
        <v>89</v>
      </c>
      <c r="AV20" t="s">
        <v>362</v>
      </c>
      <c r="AW20" t="s">
        <v>91</v>
      </c>
      <c r="AX20" t="s">
        <v>92</v>
      </c>
      <c r="AY20" t="s">
        <v>93</v>
      </c>
      <c r="AZ20" t="s">
        <v>230</v>
      </c>
      <c r="BA20" t="s">
        <v>363</v>
      </c>
      <c r="BC20" t="s">
        <v>144</v>
      </c>
      <c r="BF20" t="s">
        <v>96</v>
      </c>
      <c r="BG20" t="s">
        <v>97</v>
      </c>
      <c r="BI20" t="s">
        <v>144</v>
      </c>
      <c r="BK20" t="s">
        <v>49</v>
      </c>
      <c r="BM20" t="s">
        <v>171</v>
      </c>
      <c r="BN20" t="s">
        <v>364</v>
      </c>
      <c r="BP20" t="s">
        <v>149</v>
      </c>
      <c r="BQ20" t="s">
        <v>127</v>
      </c>
      <c r="BR20" t="s">
        <v>365</v>
      </c>
    </row>
    <row r="21" spans="1:70" x14ac:dyDescent="0.25">
      <c r="A21">
        <v>19</v>
      </c>
      <c r="B21" t="s">
        <v>366</v>
      </c>
      <c r="C21" t="s">
        <v>367</v>
      </c>
      <c r="E21">
        <v>128</v>
      </c>
      <c r="F21" s="1">
        <v>0.28910000000000002</v>
      </c>
      <c r="G21">
        <v>37</v>
      </c>
      <c r="H21">
        <v>37</v>
      </c>
      <c r="I21">
        <v>680</v>
      </c>
      <c r="J21" t="s">
        <v>72</v>
      </c>
      <c r="K21">
        <v>8894</v>
      </c>
      <c r="L21" s="1">
        <v>1.04E-2</v>
      </c>
      <c r="M21">
        <v>12223</v>
      </c>
      <c r="N21" s="1">
        <v>1.0800000000000001E-2</v>
      </c>
      <c r="O21">
        <v>452251</v>
      </c>
      <c r="P21" s="1">
        <v>8.2000000000000007E-3</v>
      </c>
      <c r="Q21">
        <v>43082</v>
      </c>
      <c r="R21">
        <v>78608</v>
      </c>
      <c r="S21" s="1">
        <v>0.54810000000000003</v>
      </c>
      <c r="T21">
        <v>2</v>
      </c>
      <c r="U21">
        <v>1137</v>
      </c>
      <c r="Y21" t="s">
        <v>131</v>
      </c>
      <c r="Z21" t="s">
        <v>175</v>
      </c>
      <c r="AA21" t="s">
        <v>368</v>
      </c>
      <c r="AB21" s="2">
        <v>41426.388275462959</v>
      </c>
      <c r="AC21" t="s">
        <v>192</v>
      </c>
      <c r="AD21" t="s">
        <v>77</v>
      </c>
      <c r="AE21">
        <v>23117</v>
      </c>
      <c r="AF21" t="s">
        <v>78</v>
      </c>
      <c r="AG21" s="1">
        <v>0.98460000000000003</v>
      </c>
      <c r="AH21" t="s">
        <v>79</v>
      </c>
      <c r="AI21" t="s">
        <v>80</v>
      </c>
      <c r="AK21" s="3">
        <v>42242</v>
      </c>
      <c r="AL21" s="4">
        <v>0.95879629629629637</v>
      </c>
      <c r="AM21" t="s">
        <v>369</v>
      </c>
      <c r="AN21" t="s">
        <v>135</v>
      </c>
      <c r="AO21" t="s">
        <v>370</v>
      </c>
      <c r="AP21" t="s">
        <v>371</v>
      </c>
      <c r="AQ21" t="s">
        <v>213</v>
      </c>
      <c r="AR21" t="s">
        <v>86</v>
      </c>
      <c r="AS21" t="s">
        <v>115</v>
      </c>
      <c r="AT21" t="s">
        <v>88</v>
      </c>
      <c r="AU21" t="s">
        <v>372</v>
      </c>
      <c r="AV21" t="s">
        <v>373</v>
      </c>
      <c r="AX21" t="s">
        <v>374</v>
      </c>
      <c r="AY21" t="s">
        <v>375</v>
      </c>
      <c r="AZ21" t="s">
        <v>140</v>
      </c>
      <c r="BA21" t="s">
        <v>363</v>
      </c>
      <c r="BC21" t="s">
        <v>242</v>
      </c>
      <c r="BD21" t="s">
        <v>376</v>
      </c>
      <c r="BF21" t="s">
        <v>168</v>
      </c>
      <c r="BG21" t="s">
        <v>97</v>
      </c>
      <c r="BI21" t="s">
        <v>219</v>
      </c>
      <c r="BK21" t="s">
        <v>66</v>
      </c>
      <c r="BM21" t="s">
        <v>171</v>
      </c>
      <c r="BN21" t="s">
        <v>144</v>
      </c>
      <c r="BO21" t="s">
        <v>185</v>
      </c>
      <c r="BP21" t="s">
        <v>126</v>
      </c>
      <c r="BQ21" t="s">
        <v>127</v>
      </c>
      <c r="BR21" t="s">
        <v>377</v>
      </c>
    </row>
    <row r="22" spans="1:70" x14ac:dyDescent="0.25">
      <c r="A22">
        <v>20</v>
      </c>
      <c r="B22" t="s">
        <v>378</v>
      </c>
      <c r="C22" t="s">
        <v>379</v>
      </c>
      <c r="D22" t="s">
        <v>380</v>
      </c>
      <c r="E22">
        <v>988</v>
      </c>
      <c r="F22" s="1">
        <v>0.1615</v>
      </c>
      <c r="G22">
        <v>159.6</v>
      </c>
      <c r="H22">
        <v>159.6</v>
      </c>
      <c r="I22">
        <v>651</v>
      </c>
      <c r="J22" t="s">
        <v>72</v>
      </c>
      <c r="K22">
        <v>8733</v>
      </c>
      <c r="L22" s="1">
        <v>1.0200000000000001E-2</v>
      </c>
      <c r="M22">
        <v>9760</v>
      </c>
      <c r="N22" s="1">
        <v>8.6E-3</v>
      </c>
      <c r="O22">
        <v>1557696</v>
      </c>
      <c r="P22" s="1">
        <v>2.8199999999999999E-2</v>
      </c>
      <c r="Q22">
        <v>73194</v>
      </c>
      <c r="R22">
        <v>690856</v>
      </c>
      <c r="S22" s="1">
        <v>0.10589999999999999</v>
      </c>
      <c r="T22">
        <v>22</v>
      </c>
      <c r="U22">
        <v>5051</v>
      </c>
      <c r="Y22" t="s">
        <v>381</v>
      </c>
      <c r="Z22" t="s">
        <v>74</v>
      </c>
      <c r="AA22" t="s">
        <v>382</v>
      </c>
      <c r="AB22" s="2">
        <v>39874.802187499998</v>
      </c>
      <c r="AC22" t="s">
        <v>224</v>
      </c>
      <c r="AD22" t="s">
        <v>383</v>
      </c>
      <c r="AE22">
        <v>55049</v>
      </c>
      <c r="AF22" t="s">
        <v>78</v>
      </c>
      <c r="AG22" s="1">
        <v>0.9758</v>
      </c>
      <c r="AH22" t="s">
        <v>79</v>
      </c>
      <c r="AI22" t="s">
        <v>80</v>
      </c>
      <c r="AK22" s="3">
        <v>42242</v>
      </c>
      <c r="AL22" s="4">
        <v>0.84722222222222221</v>
      </c>
      <c r="AM22" t="s">
        <v>384</v>
      </c>
      <c r="AN22" t="s">
        <v>135</v>
      </c>
      <c r="AO22" t="s">
        <v>385</v>
      </c>
      <c r="AP22" t="s">
        <v>386</v>
      </c>
      <c r="AQ22" t="s">
        <v>85</v>
      </c>
      <c r="AR22" t="s">
        <v>114</v>
      </c>
      <c r="AS22" t="s">
        <v>87</v>
      </c>
      <c r="AT22" t="s">
        <v>88</v>
      </c>
      <c r="AU22" t="s">
        <v>285</v>
      </c>
      <c r="AV22" t="s">
        <v>387</v>
      </c>
      <c r="AW22" t="s">
        <v>91</v>
      </c>
      <c r="AX22" t="s">
        <v>92</v>
      </c>
      <c r="AY22" t="s">
        <v>326</v>
      </c>
      <c r="AZ22" t="s">
        <v>94</v>
      </c>
      <c r="BA22" t="s">
        <v>121</v>
      </c>
      <c r="BC22" t="s">
        <v>242</v>
      </c>
      <c r="BD22" t="s">
        <v>388</v>
      </c>
      <c r="BE22" t="s">
        <v>380</v>
      </c>
      <c r="BF22" t="s">
        <v>168</v>
      </c>
      <c r="BG22" t="s">
        <v>97</v>
      </c>
      <c r="BI22" t="s">
        <v>219</v>
      </c>
      <c r="BK22" t="s">
        <v>49</v>
      </c>
      <c r="BM22" t="s">
        <v>147</v>
      </c>
      <c r="BN22" t="s">
        <v>144</v>
      </c>
      <c r="BQ22" t="s">
        <v>389</v>
      </c>
      <c r="BR22" t="s">
        <v>390</v>
      </c>
    </row>
    <row r="23" spans="1:70" x14ac:dyDescent="0.25">
      <c r="A23">
        <v>21</v>
      </c>
      <c r="B23" t="s">
        <v>391</v>
      </c>
      <c r="C23" t="s">
        <v>392</v>
      </c>
      <c r="D23" t="s">
        <v>393</v>
      </c>
      <c r="E23">
        <v>298</v>
      </c>
      <c r="F23" s="1">
        <v>0.29830000000000001</v>
      </c>
      <c r="G23">
        <v>88.9</v>
      </c>
      <c r="H23">
        <v>88.9</v>
      </c>
      <c r="I23">
        <v>8437</v>
      </c>
      <c r="J23" t="s">
        <v>72</v>
      </c>
      <c r="K23">
        <v>8355</v>
      </c>
      <c r="L23" s="1">
        <v>9.7999999999999997E-3</v>
      </c>
      <c r="M23">
        <v>11294</v>
      </c>
      <c r="N23" s="1">
        <v>0.01</v>
      </c>
      <c r="O23">
        <v>1004036.6</v>
      </c>
      <c r="P23" s="1">
        <v>1.8200000000000001E-2</v>
      </c>
      <c r="Q23">
        <v>145106</v>
      </c>
      <c r="R23" t="s">
        <v>154</v>
      </c>
      <c r="S23" t="s">
        <v>154</v>
      </c>
      <c r="T23">
        <v>130</v>
      </c>
      <c r="U23">
        <v>30222</v>
      </c>
      <c r="Z23" t="s">
        <v>74</v>
      </c>
      <c r="AA23" t="s">
        <v>394</v>
      </c>
      <c r="AB23" s="2">
        <v>41592.604097222225</v>
      </c>
      <c r="AC23" t="s">
        <v>236</v>
      </c>
      <c r="AD23" t="s">
        <v>77</v>
      </c>
      <c r="AE23">
        <v>105194</v>
      </c>
      <c r="AF23" t="s">
        <v>159</v>
      </c>
      <c r="AG23" s="1">
        <v>1</v>
      </c>
      <c r="AH23" t="s">
        <v>79</v>
      </c>
      <c r="AI23" t="s">
        <v>80</v>
      </c>
      <c r="AK23" s="3">
        <v>42240</v>
      </c>
      <c r="AL23" s="4">
        <v>0.87575231481481486</v>
      </c>
      <c r="AM23" t="s">
        <v>395</v>
      </c>
      <c r="AN23" t="s">
        <v>82</v>
      </c>
      <c r="AO23" t="s">
        <v>396</v>
      </c>
      <c r="AP23" t="s">
        <v>397</v>
      </c>
      <c r="AQ23" t="s">
        <v>85</v>
      </c>
      <c r="AR23" t="s">
        <v>164</v>
      </c>
      <c r="AT23" t="s">
        <v>116</v>
      </c>
      <c r="AU23" t="s">
        <v>89</v>
      </c>
      <c r="AV23" t="s">
        <v>398</v>
      </c>
      <c r="AX23" t="s">
        <v>399</v>
      </c>
      <c r="AY23" t="s">
        <v>93</v>
      </c>
      <c r="AZ23" t="s">
        <v>230</v>
      </c>
      <c r="BA23" t="s">
        <v>121</v>
      </c>
      <c r="BC23" t="s">
        <v>242</v>
      </c>
      <c r="BD23" t="s">
        <v>400</v>
      </c>
      <c r="BE23" t="s">
        <v>393</v>
      </c>
      <c r="BF23" t="s">
        <v>201</v>
      </c>
      <c r="BG23" t="s">
        <v>97</v>
      </c>
      <c r="BH23" t="s">
        <v>401</v>
      </c>
      <c r="BI23" t="s">
        <v>219</v>
      </c>
      <c r="BJ23" t="s">
        <v>402</v>
      </c>
      <c r="BK23" t="s">
        <v>49</v>
      </c>
      <c r="BM23" t="s">
        <v>98</v>
      </c>
      <c r="BN23" t="s">
        <v>144</v>
      </c>
      <c r="BP23" t="s">
        <v>126</v>
      </c>
      <c r="BQ23" t="s">
        <v>127</v>
      </c>
      <c r="BR23" t="s">
        <v>403</v>
      </c>
    </row>
    <row r="24" spans="1:70" x14ac:dyDescent="0.25">
      <c r="A24">
        <v>22</v>
      </c>
      <c r="B24" t="s">
        <v>404</v>
      </c>
      <c r="C24" t="s">
        <v>405</v>
      </c>
      <c r="E24">
        <v>144</v>
      </c>
      <c r="F24" s="1">
        <v>0.30559999999999998</v>
      </c>
      <c r="G24">
        <v>44</v>
      </c>
      <c r="H24">
        <v>44</v>
      </c>
      <c r="I24">
        <v>30212</v>
      </c>
      <c r="J24" t="s">
        <v>72</v>
      </c>
      <c r="K24">
        <v>8328</v>
      </c>
      <c r="L24" s="1">
        <v>9.7000000000000003E-3</v>
      </c>
      <c r="M24">
        <v>13084</v>
      </c>
      <c r="N24" s="1">
        <v>1.15E-2</v>
      </c>
      <c r="O24">
        <v>575696</v>
      </c>
      <c r="P24" s="1">
        <v>1.04E-2</v>
      </c>
      <c r="Q24">
        <v>18992</v>
      </c>
      <c r="R24">
        <v>205427</v>
      </c>
      <c r="S24" s="1">
        <v>9.2499999999999999E-2</v>
      </c>
      <c r="T24">
        <v>9</v>
      </c>
      <c r="U24">
        <v>923</v>
      </c>
      <c r="Y24" t="s">
        <v>105</v>
      </c>
      <c r="Z24" t="s">
        <v>175</v>
      </c>
      <c r="AA24" t="s">
        <v>406</v>
      </c>
      <c r="AB24" s="2">
        <v>41568.53802083333</v>
      </c>
      <c r="AC24" t="s">
        <v>407</v>
      </c>
      <c r="AD24" t="s">
        <v>408</v>
      </c>
      <c r="AE24">
        <v>2296</v>
      </c>
      <c r="AF24" t="s">
        <v>78</v>
      </c>
      <c r="AG24" s="1">
        <v>0.95960000000000001</v>
      </c>
      <c r="AH24" t="s">
        <v>79</v>
      </c>
      <c r="AI24" t="s">
        <v>80</v>
      </c>
      <c r="AK24" s="3">
        <v>42243</v>
      </c>
      <c r="AL24" s="4">
        <v>0.45844907407407409</v>
      </c>
      <c r="AM24" t="s">
        <v>409</v>
      </c>
      <c r="AN24" t="s">
        <v>179</v>
      </c>
      <c r="AO24" t="s">
        <v>410</v>
      </c>
      <c r="AP24" t="s">
        <v>411</v>
      </c>
      <c r="AQ24" t="s">
        <v>213</v>
      </c>
      <c r="AR24" t="s">
        <v>283</v>
      </c>
      <c r="AT24" t="s">
        <v>88</v>
      </c>
      <c r="AU24" t="s">
        <v>89</v>
      </c>
      <c r="AV24" t="s">
        <v>412</v>
      </c>
      <c r="AW24" t="s">
        <v>216</v>
      </c>
      <c r="AX24" t="s">
        <v>413</v>
      </c>
      <c r="AY24" t="s">
        <v>93</v>
      </c>
      <c r="AZ24" t="s">
        <v>230</v>
      </c>
      <c r="BA24" t="s">
        <v>121</v>
      </c>
      <c r="BD24" t="s">
        <v>414</v>
      </c>
      <c r="BF24" t="s">
        <v>201</v>
      </c>
      <c r="BG24" t="s">
        <v>97</v>
      </c>
      <c r="BI24" t="s">
        <v>219</v>
      </c>
      <c r="BK24" t="s">
        <v>49</v>
      </c>
      <c r="BM24" t="s">
        <v>147</v>
      </c>
      <c r="BP24" t="s">
        <v>126</v>
      </c>
      <c r="BQ24" t="s">
        <v>329</v>
      </c>
      <c r="BR24" t="s">
        <v>415</v>
      </c>
    </row>
    <row r="25" spans="1:70" x14ac:dyDescent="0.25">
      <c r="A25">
        <v>23</v>
      </c>
      <c r="B25" t="s">
        <v>416</v>
      </c>
      <c r="C25" t="s">
        <v>417</v>
      </c>
      <c r="E25">
        <v>139</v>
      </c>
      <c r="F25" s="1">
        <v>0.17269999999999999</v>
      </c>
      <c r="G25">
        <v>24</v>
      </c>
      <c r="H25">
        <v>24</v>
      </c>
      <c r="I25">
        <v>152744</v>
      </c>
      <c r="J25" t="s">
        <v>72</v>
      </c>
      <c r="K25">
        <v>8296</v>
      </c>
      <c r="L25" s="1">
        <v>9.7000000000000003E-3</v>
      </c>
      <c r="M25">
        <v>9094</v>
      </c>
      <c r="N25" s="1">
        <v>8.0000000000000002E-3</v>
      </c>
      <c r="O25">
        <v>218256</v>
      </c>
      <c r="P25" s="1">
        <v>4.0000000000000001E-3</v>
      </c>
      <c r="Q25">
        <v>61206</v>
      </c>
      <c r="R25">
        <v>88663</v>
      </c>
      <c r="S25" s="1">
        <v>0.69030000000000002</v>
      </c>
      <c r="T25">
        <v>2</v>
      </c>
      <c r="U25">
        <v>7632</v>
      </c>
      <c r="Y25" t="s">
        <v>105</v>
      </c>
      <c r="Z25" t="s">
        <v>175</v>
      </c>
      <c r="AA25" t="s">
        <v>333</v>
      </c>
      <c r="AB25" s="2">
        <v>41568.555879629632</v>
      </c>
      <c r="AC25" t="s">
        <v>224</v>
      </c>
      <c r="AD25" t="s">
        <v>334</v>
      </c>
      <c r="AE25">
        <v>12566</v>
      </c>
      <c r="AF25" t="s">
        <v>78</v>
      </c>
      <c r="AG25" s="1">
        <v>0.94430000000000003</v>
      </c>
      <c r="AH25" t="s">
        <v>79</v>
      </c>
      <c r="AI25" t="s">
        <v>80</v>
      </c>
      <c r="AK25" s="3">
        <v>42239</v>
      </c>
      <c r="AL25" s="4">
        <v>0.91447916666666673</v>
      </c>
      <c r="AM25" s="5">
        <v>0.15770833333333334</v>
      </c>
      <c r="AN25" t="s">
        <v>194</v>
      </c>
      <c r="AO25" t="s">
        <v>418</v>
      </c>
      <c r="AP25" t="s">
        <v>419</v>
      </c>
      <c r="AQ25" t="s">
        <v>85</v>
      </c>
      <c r="AR25" t="s">
        <v>114</v>
      </c>
      <c r="AT25" t="s">
        <v>88</v>
      </c>
      <c r="AU25" t="s">
        <v>144</v>
      </c>
      <c r="AV25" t="s">
        <v>420</v>
      </c>
      <c r="AW25" t="s">
        <v>91</v>
      </c>
      <c r="AX25" t="s">
        <v>421</v>
      </c>
      <c r="AY25" t="s">
        <v>199</v>
      </c>
      <c r="AZ25" t="s">
        <v>94</v>
      </c>
      <c r="BA25" t="s">
        <v>121</v>
      </c>
      <c r="BC25" t="s">
        <v>242</v>
      </c>
      <c r="BD25" t="s">
        <v>243</v>
      </c>
      <c r="BG25" t="s">
        <v>97</v>
      </c>
      <c r="BI25" t="s">
        <v>144</v>
      </c>
      <c r="BK25" t="s">
        <v>49</v>
      </c>
      <c r="BM25" t="s">
        <v>328</v>
      </c>
      <c r="BN25" t="s">
        <v>144</v>
      </c>
      <c r="BP25" t="s">
        <v>149</v>
      </c>
      <c r="BQ25" t="s">
        <v>100</v>
      </c>
      <c r="BR25" t="s">
        <v>422</v>
      </c>
    </row>
    <row r="26" spans="1:70" x14ac:dyDescent="0.25">
      <c r="A26">
        <v>24</v>
      </c>
      <c r="B26" t="s">
        <v>423</v>
      </c>
      <c r="C26" t="s">
        <v>424</v>
      </c>
      <c r="D26">
        <v>1005</v>
      </c>
      <c r="E26">
        <v>336</v>
      </c>
      <c r="F26" s="1">
        <v>0.52980000000000005</v>
      </c>
      <c r="G26">
        <v>178</v>
      </c>
      <c r="H26">
        <v>178</v>
      </c>
      <c r="I26">
        <v>5433</v>
      </c>
      <c r="J26" t="s">
        <v>72</v>
      </c>
      <c r="K26">
        <v>8293</v>
      </c>
      <c r="L26" s="1">
        <v>9.7000000000000003E-3</v>
      </c>
      <c r="M26">
        <v>10574</v>
      </c>
      <c r="N26" s="1">
        <v>9.2999999999999992E-3</v>
      </c>
      <c r="O26">
        <v>1882172</v>
      </c>
      <c r="P26" s="1">
        <v>3.4099999999999998E-2</v>
      </c>
      <c r="Q26">
        <v>154226</v>
      </c>
      <c r="R26">
        <v>749378</v>
      </c>
      <c r="S26" s="1">
        <v>0.20580000000000001</v>
      </c>
      <c r="T26">
        <v>78</v>
      </c>
      <c r="U26">
        <v>2177</v>
      </c>
      <c r="Y26" t="s">
        <v>425</v>
      </c>
      <c r="Z26" t="s">
        <v>74</v>
      </c>
      <c r="AA26" t="s">
        <v>426</v>
      </c>
      <c r="AB26" s="2">
        <v>41902.902025462965</v>
      </c>
      <c r="AC26" t="s">
        <v>108</v>
      </c>
      <c r="AD26" t="s">
        <v>307</v>
      </c>
      <c r="AE26">
        <v>37061</v>
      </c>
      <c r="AF26" t="s">
        <v>78</v>
      </c>
      <c r="AG26" s="1">
        <v>0.97909999999999997</v>
      </c>
      <c r="AH26" t="s">
        <v>79</v>
      </c>
      <c r="AI26" t="s">
        <v>80</v>
      </c>
      <c r="AK26" s="3">
        <v>42244</v>
      </c>
      <c r="AL26" s="4">
        <v>0.91806712962962955</v>
      </c>
      <c r="AM26" t="s">
        <v>427</v>
      </c>
      <c r="AN26" t="s">
        <v>111</v>
      </c>
      <c r="AO26" t="s">
        <v>428</v>
      </c>
      <c r="AP26" t="s">
        <v>429</v>
      </c>
      <c r="AQ26" t="s">
        <v>85</v>
      </c>
      <c r="AR26" t="s">
        <v>86</v>
      </c>
      <c r="AS26" t="s">
        <v>115</v>
      </c>
      <c r="AT26" t="s">
        <v>430</v>
      </c>
      <c r="AU26" t="s">
        <v>89</v>
      </c>
      <c r="AV26" t="s">
        <v>431</v>
      </c>
      <c r="AX26" t="s">
        <v>92</v>
      </c>
      <c r="AY26" t="s">
        <v>199</v>
      </c>
      <c r="AZ26" t="s">
        <v>140</v>
      </c>
      <c r="BA26" t="s">
        <v>121</v>
      </c>
      <c r="BC26" t="s">
        <v>217</v>
      </c>
      <c r="BD26" t="s">
        <v>243</v>
      </c>
      <c r="BE26">
        <v>1005</v>
      </c>
      <c r="BF26" t="s">
        <v>432</v>
      </c>
      <c r="BG26" t="s">
        <v>97</v>
      </c>
      <c r="BI26" t="s">
        <v>144</v>
      </c>
      <c r="BK26" t="s">
        <v>63</v>
      </c>
      <c r="BL26" t="s">
        <v>433</v>
      </c>
      <c r="BM26" t="s">
        <v>171</v>
      </c>
      <c r="BN26" t="s">
        <v>184</v>
      </c>
      <c r="BQ26" t="s">
        <v>127</v>
      </c>
      <c r="BR26" t="s">
        <v>434</v>
      </c>
    </row>
    <row r="27" spans="1:70" x14ac:dyDescent="0.25">
      <c r="A27">
        <v>25</v>
      </c>
      <c r="B27" t="s">
        <v>435</v>
      </c>
      <c r="C27" t="s">
        <v>436</v>
      </c>
      <c r="D27" t="s">
        <v>437</v>
      </c>
      <c r="E27">
        <v>128</v>
      </c>
      <c r="F27" s="1">
        <v>0.23200000000000001</v>
      </c>
      <c r="G27">
        <v>29.7</v>
      </c>
      <c r="H27">
        <v>29.7</v>
      </c>
      <c r="I27">
        <v>24279</v>
      </c>
      <c r="J27">
        <v>5</v>
      </c>
      <c r="K27">
        <v>8239</v>
      </c>
      <c r="L27" s="1">
        <v>9.5999999999999992E-3</v>
      </c>
      <c r="M27">
        <v>10091</v>
      </c>
      <c r="N27" s="1">
        <v>8.8999999999999999E-3</v>
      </c>
      <c r="O27">
        <v>299702.7</v>
      </c>
      <c r="P27" s="1">
        <v>5.4000000000000003E-3</v>
      </c>
      <c r="Q27">
        <v>19022</v>
      </c>
      <c r="R27" t="s">
        <v>154</v>
      </c>
      <c r="S27" t="s">
        <v>154</v>
      </c>
      <c r="T27">
        <v>1</v>
      </c>
      <c r="U27">
        <v>3941</v>
      </c>
      <c r="W27" t="s">
        <v>293</v>
      </c>
      <c r="Z27" t="s">
        <v>74</v>
      </c>
      <c r="AA27" t="s">
        <v>294</v>
      </c>
      <c r="AB27" s="2">
        <v>41746.486747685187</v>
      </c>
      <c r="AC27" t="s">
        <v>192</v>
      </c>
      <c r="AD27" t="s">
        <v>158</v>
      </c>
      <c r="AE27">
        <v>45399</v>
      </c>
      <c r="AF27" t="s">
        <v>159</v>
      </c>
      <c r="AG27" s="1">
        <v>1</v>
      </c>
      <c r="AH27" t="s">
        <v>79</v>
      </c>
      <c r="AI27" t="s">
        <v>80</v>
      </c>
      <c r="AK27" s="3">
        <v>42241</v>
      </c>
      <c r="AL27" s="4">
        <v>0.86111111111111116</v>
      </c>
      <c r="AM27" t="s">
        <v>438</v>
      </c>
      <c r="AN27" t="s">
        <v>251</v>
      </c>
      <c r="AO27" t="s">
        <v>439</v>
      </c>
      <c r="AP27" t="s">
        <v>440</v>
      </c>
      <c r="AQ27" t="s">
        <v>441</v>
      </c>
      <c r="AR27" t="s">
        <v>164</v>
      </c>
      <c r="AS27" t="s">
        <v>115</v>
      </c>
      <c r="AT27" t="s">
        <v>88</v>
      </c>
      <c r="AU27" t="s">
        <v>89</v>
      </c>
      <c r="AV27" t="s">
        <v>442</v>
      </c>
      <c r="AW27" t="s">
        <v>267</v>
      </c>
      <c r="AX27" t="s">
        <v>443</v>
      </c>
      <c r="AY27" t="s">
        <v>199</v>
      </c>
      <c r="AZ27" t="s">
        <v>94</v>
      </c>
      <c r="BA27" t="s">
        <v>121</v>
      </c>
      <c r="BB27" t="s">
        <v>269</v>
      </c>
      <c r="BC27" t="s">
        <v>242</v>
      </c>
      <c r="BD27" t="s">
        <v>444</v>
      </c>
      <c r="BE27" t="s">
        <v>437</v>
      </c>
      <c r="BF27" t="s">
        <v>124</v>
      </c>
      <c r="BG27" t="s">
        <v>97</v>
      </c>
      <c r="BH27" t="s">
        <v>272</v>
      </c>
      <c r="BI27" t="s">
        <v>445</v>
      </c>
      <c r="BJ27" t="s">
        <v>301</v>
      </c>
      <c r="BK27" t="s">
        <v>49</v>
      </c>
      <c r="BM27" t="s">
        <v>98</v>
      </c>
      <c r="BN27" t="s">
        <v>125</v>
      </c>
      <c r="BP27" t="s">
        <v>126</v>
      </c>
      <c r="BQ27" t="s">
        <v>100</v>
      </c>
      <c r="BR27" t="s">
        <v>446</v>
      </c>
    </row>
    <row r="28" spans="1:70" x14ac:dyDescent="0.25">
      <c r="A28">
        <v>26</v>
      </c>
      <c r="B28" t="s">
        <v>447</v>
      </c>
      <c r="C28" t="s">
        <v>448</v>
      </c>
      <c r="D28" t="s">
        <v>449</v>
      </c>
      <c r="E28">
        <v>128</v>
      </c>
      <c r="F28" s="1">
        <v>0.1547</v>
      </c>
      <c r="G28">
        <v>19.8</v>
      </c>
      <c r="H28">
        <v>19.8</v>
      </c>
      <c r="I28">
        <v>13683</v>
      </c>
      <c r="J28" t="s">
        <v>72</v>
      </c>
      <c r="K28">
        <v>7986</v>
      </c>
      <c r="L28" s="1">
        <v>9.2999999999999992E-3</v>
      </c>
      <c r="M28">
        <v>10582</v>
      </c>
      <c r="N28" s="1">
        <v>9.2999999999999992E-3</v>
      </c>
      <c r="O28">
        <v>209523.6</v>
      </c>
      <c r="P28" s="1">
        <v>3.8E-3</v>
      </c>
      <c r="Q28">
        <v>29880</v>
      </c>
      <c r="R28" t="s">
        <v>154</v>
      </c>
      <c r="S28" t="s">
        <v>154</v>
      </c>
      <c r="T28">
        <v>7</v>
      </c>
      <c r="U28">
        <v>9696</v>
      </c>
      <c r="Z28" t="s">
        <v>155</v>
      </c>
      <c r="AA28" t="s">
        <v>156</v>
      </c>
      <c r="AB28" s="2">
        <v>41723.450532407405</v>
      </c>
      <c r="AC28" t="s">
        <v>157</v>
      </c>
      <c r="AD28" t="s">
        <v>158</v>
      </c>
      <c r="AE28">
        <v>308260</v>
      </c>
      <c r="AF28" t="s">
        <v>159</v>
      </c>
      <c r="AG28" s="1">
        <v>1</v>
      </c>
      <c r="AH28" t="s">
        <v>79</v>
      </c>
      <c r="AI28" t="s">
        <v>80</v>
      </c>
      <c r="AK28" s="3">
        <v>42243</v>
      </c>
      <c r="AL28" s="4">
        <v>0.4196064814814815</v>
      </c>
      <c r="AM28" t="s">
        <v>450</v>
      </c>
      <c r="AN28" t="s">
        <v>179</v>
      </c>
      <c r="AO28" t="s">
        <v>451</v>
      </c>
      <c r="AP28" t="s">
        <v>452</v>
      </c>
      <c r="AQ28" t="s">
        <v>85</v>
      </c>
      <c r="AR28" t="s">
        <v>164</v>
      </c>
      <c r="AT28" t="s">
        <v>88</v>
      </c>
      <c r="AU28" t="s">
        <v>89</v>
      </c>
      <c r="AV28" t="s">
        <v>453</v>
      </c>
      <c r="AW28" t="s">
        <v>91</v>
      </c>
      <c r="AX28" t="s">
        <v>166</v>
      </c>
      <c r="AY28" t="s">
        <v>144</v>
      </c>
      <c r="AZ28" t="s">
        <v>140</v>
      </c>
      <c r="BA28" t="s">
        <v>121</v>
      </c>
      <c r="BC28" t="s">
        <v>122</v>
      </c>
      <c r="BE28" t="s">
        <v>449</v>
      </c>
      <c r="BF28" t="s">
        <v>144</v>
      </c>
      <c r="BG28" t="s">
        <v>97</v>
      </c>
      <c r="BH28" t="s">
        <v>169</v>
      </c>
      <c r="BI28" t="s">
        <v>219</v>
      </c>
      <c r="BJ28" t="s">
        <v>170</v>
      </c>
      <c r="BK28" t="s">
        <v>49</v>
      </c>
      <c r="BM28" t="s">
        <v>171</v>
      </c>
      <c r="BN28" t="s">
        <v>125</v>
      </c>
      <c r="BP28" t="s">
        <v>126</v>
      </c>
      <c r="BQ28" t="s">
        <v>100</v>
      </c>
      <c r="BR28" t="s">
        <v>454</v>
      </c>
    </row>
    <row r="29" spans="1:70" x14ac:dyDescent="0.25">
      <c r="A29">
        <v>27</v>
      </c>
      <c r="B29" t="s">
        <v>455</v>
      </c>
      <c r="C29" t="s">
        <v>456</v>
      </c>
      <c r="E29">
        <v>78</v>
      </c>
      <c r="F29" s="1">
        <v>0.48720000000000002</v>
      </c>
      <c r="G29">
        <v>38</v>
      </c>
      <c r="H29">
        <v>38</v>
      </c>
      <c r="I29">
        <v>268870</v>
      </c>
      <c r="J29" t="s">
        <v>72</v>
      </c>
      <c r="K29">
        <v>7916</v>
      </c>
      <c r="L29" s="1">
        <v>9.1999999999999998E-3</v>
      </c>
      <c r="M29">
        <v>9298</v>
      </c>
      <c r="N29" s="1">
        <v>8.2000000000000007E-3</v>
      </c>
      <c r="O29">
        <v>353324</v>
      </c>
      <c r="P29" s="1">
        <v>6.4000000000000003E-3</v>
      </c>
      <c r="Q29">
        <v>21184</v>
      </c>
      <c r="R29">
        <v>54126</v>
      </c>
      <c r="S29" s="1">
        <v>0.39140000000000003</v>
      </c>
      <c r="T29">
        <v>15</v>
      </c>
      <c r="U29">
        <v>3152</v>
      </c>
      <c r="Y29" t="s">
        <v>189</v>
      </c>
      <c r="Z29" t="s">
        <v>175</v>
      </c>
      <c r="AA29" t="s">
        <v>457</v>
      </c>
      <c r="AB29" s="2">
        <v>41586.934386574074</v>
      </c>
      <c r="AC29" t="s">
        <v>224</v>
      </c>
      <c r="AD29" t="s">
        <v>458</v>
      </c>
      <c r="AE29">
        <v>8607</v>
      </c>
      <c r="AF29" t="s">
        <v>78</v>
      </c>
      <c r="AG29" s="1">
        <v>0.94940000000000002</v>
      </c>
      <c r="AH29" t="s">
        <v>79</v>
      </c>
      <c r="AI29" t="s">
        <v>80</v>
      </c>
      <c r="AK29" s="3">
        <v>42240</v>
      </c>
      <c r="AL29" s="4">
        <v>0.44097222222222227</v>
      </c>
      <c r="AM29" s="5">
        <v>0.68420138888888893</v>
      </c>
      <c r="AN29" t="s">
        <v>82</v>
      </c>
      <c r="AO29" t="s">
        <v>459</v>
      </c>
      <c r="AP29" t="s">
        <v>460</v>
      </c>
      <c r="AQ29" t="s">
        <v>213</v>
      </c>
      <c r="AR29" t="s">
        <v>86</v>
      </c>
      <c r="AT29" t="s">
        <v>88</v>
      </c>
      <c r="AU29" t="s">
        <v>89</v>
      </c>
      <c r="AV29" t="s">
        <v>461</v>
      </c>
      <c r="AW29" t="s">
        <v>91</v>
      </c>
      <c r="AX29" t="s">
        <v>92</v>
      </c>
      <c r="AY29" t="s">
        <v>93</v>
      </c>
      <c r="AZ29" t="s">
        <v>140</v>
      </c>
      <c r="BA29" t="s">
        <v>121</v>
      </c>
      <c r="BC29" t="s">
        <v>242</v>
      </c>
      <c r="BD29" t="s">
        <v>462</v>
      </c>
      <c r="BF29" t="s">
        <v>432</v>
      </c>
      <c r="BG29" t="s">
        <v>97</v>
      </c>
      <c r="BI29" t="s">
        <v>445</v>
      </c>
      <c r="BK29" t="s">
        <v>49</v>
      </c>
      <c r="BM29" t="s">
        <v>98</v>
      </c>
      <c r="BN29" t="s">
        <v>184</v>
      </c>
      <c r="BQ29" t="s">
        <v>100</v>
      </c>
      <c r="BR29" t="s">
        <v>463</v>
      </c>
    </row>
    <row r="30" spans="1:70" x14ac:dyDescent="0.25">
      <c r="A30">
        <v>28</v>
      </c>
      <c r="B30" t="s">
        <v>464</v>
      </c>
      <c r="C30" t="s">
        <v>465</v>
      </c>
      <c r="E30">
        <v>110</v>
      </c>
      <c r="F30" s="1">
        <v>0.49</v>
      </c>
      <c r="G30">
        <v>53.9</v>
      </c>
      <c r="H30">
        <v>53.9</v>
      </c>
      <c r="I30">
        <v>3457</v>
      </c>
      <c r="J30" t="s">
        <v>72</v>
      </c>
      <c r="K30">
        <v>7704</v>
      </c>
      <c r="L30" s="1">
        <v>8.9999999999999993E-3</v>
      </c>
      <c r="M30">
        <v>8426</v>
      </c>
      <c r="N30" s="1">
        <v>7.4000000000000003E-3</v>
      </c>
      <c r="O30">
        <v>454161.4</v>
      </c>
      <c r="P30" s="1">
        <v>8.2000000000000007E-3</v>
      </c>
      <c r="Q30">
        <v>73858</v>
      </c>
      <c r="R30">
        <v>638129</v>
      </c>
      <c r="S30" s="1">
        <v>0.1157</v>
      </c>
      <c r="T30">
        <v>57</v>
      </c>
      <c r="U30">
        <v>11990</v>
      </c>
      <c r="Y30" t="s">
        <v>466</v>
      </c>
      <c r="Z30" t="s">
        <v>74</v>
      </c>
      <c r="AA30" t="s">
        <v>467</v>
      </c>
      <c r="AB30" s="2">
        <v>39140.893240740741</v>
      </c>
      <c r="AC30" t="s">
        <v>468</v>
      </c>
      <c r="AD30" t="s">
        <v>307</v>
      </c>
      <c r="AE30">
        <v>4387178</v>
      </c>
      <c r="AF30" t="s">
        <v>78</v>
      </c>
      <c r="AG30" s="1">
        <v>0.9879</v>
      </c>
      <c r="AH30" t="s">
        <v>79</v>
      </c>
      <c r="AI30" t="s">
        <v>80</v>
      </c>
      <c r="AK30" s="3">
        <v>42242</v>
      </c>
      <c r="AL30" s="4">
        <v>0.41898148148148145</v>
      </c>
      <c r="AM30" t="s">
        <v>469</v>
      </c>
      <c r="AN30" t="s">
        <v>135</v>
      </c>
      <c r="AO30" t="s">
        <v>470</v>
      </c>
      <c r="AP30" t="s">
        <v>471</v>
      </c>
      <c r="AQ30" t="s">
        <v>85</v>
      </c>
      <c r="AR30" t="s">
        <v>472</v>
      </c>
      <c r="AT30" t="s">
        <v>88</v>
      </c>
      <c r="AU30" t="s">
        <v>89</v>
      </c>
      <c r="AV30" t="s">
        <v>473</v>
      </c>
      <c r="AX30" t="s">
        <v>287</v>
      </c>
      <c r="AY30" t="s">
        <v>474</v>
      </c>
      <c r="AZ30" t="s">
        <v>120</v>
      </c>
      <c r="BD30" t="s">
        <v>475</v>
      </c>
      <c r="BF30" t="s">
        <v>144</v>
      </c>
      <c r="BG30" t="s">
        <v>97</v>
      </c>
      <c r="BI30" t="s">
        <v>219</v>
      </c>
      <c r="BK30" t="s">
        <v>49</v>
      </c>
      <c r="BM30" t="s">
        <v>328</v>
      </c>
      <c r="BP30" t="s">
        <v>149</v>
      </c>
      <c r="BQ30" t="s">
        <v>100</v>
      </c>
      <c r="BR30" t="s">
        <v>476</v>
      </c>
    </row>
    <row r="31" spans="1:70" x14ac:dyDescent="0.25">
      <c r="A31">
        <v>29</v>
      </c>
      <c r="B31" t="s">
        <v>477</v>
      </c>
      <c r="C31" t="s">
        <v>478</v>
      </c>
      <c r="E31">
        <v>43</v>
      </c>
      <c r="F31" s="1">
        <v>0.4884</v>
      </c>
      <c r="G31">
        <v>21</v>
      </c>
      <c r="H31">
        <v>21</v>
      </c>
      <c r="I31">
        <v>17788</v>
      </c>
      <c r="J31" t="s">
        <v>72</v>
      </c>
      <c r="K31">
        <v>7573</v>
      </c>
      <c r="L31" s="1">
        <v>8.8000000000000005E-3</v>
      </c>
      <c r="M31">
        <v>8794</v>
      </c>
      <c r="N31" s="1">
        <v>7.7999999999999996E-3</v>
      </c>
      <c r="O31">
        <v>184674</v>
      </c>
      <c r="P31" s="1">
        <v>3.3E-3</v>
      </c>
      <c r="Q31">
        <v>26472</v>
      </c>
      <c r="R31">
        <v>28697</v>
      </c>
      <c r="S31" s="1">
        <v>0.92249999999999999</v>
      </c>
      <c r="T31">
        <v>7</v>
      </c>
      <c r="U31">
        <v>1892</v>
      </c>
      <c r="Y31" t="s">
        <v>466</v>
      </c>
      <c r="Z31" t="s">
        <v>175</v>
      </c>
      <c r="AA31" t="s">
        <v>479</v>
      </c>
      <c r="AB31" s="2">
        <v>41733.53297453704</v>
      </c>
      <c r="AC31" t="s">
        <v>407</v>
      </c>
      <c r="AD31" t="s">
        <v>237</v>
      </c>
      <c r="AE31">
        <v>6583</v>
      </c>
      <c r="AF31" t="s">
        <v>78</v>
      </c>
      <c r="AG31" s="1">
        <v>0.97770000000000001</v>
      </c>
      <c r="AH31" t="s">
        <v>79</v>
      </c>
      <c r="AI31" t="s">
        <v>80</v>
      </c>
      <c r="AK31" s="3">
        <v>42245</v>
      </c>
      <c r="AL31" s="4">
        <v>0.63194444444444442</v>
      </c>
      <c r="AM31" t="s">
        <v>480</v>
      </c>
      <c r="AN31" t="s">
        <v>161</v>
      </c>
      <c r="AO31" t="s">
        <v>481</v>
      </c>
      <c r="AP31" t="s">
        <v>482</v>
      </c>
      <c r="AQ31" t="s">
        <v>85</v>
      </c>
      <c r="AR31" t="s">
        <v>214</v>
      </c>
      <c r="AT31" t="s">
        <v>88</v>
      </c>
      <c r="AU31" t="s">
        <v>89</v>
      </c>
      <c r="AV31" t="s">
        <v>483</v>
      </c>
      <c r="AW31" t="s">
        <v>91</v>
      </c>
      <c r="AX31" t="s">
        <v>484</v>
      </c>
      <c r="AY31" t="s">
        <v>199</v>
      </c>
      <c r="AZ31" t="s">
        <v>140</v>
      </c>
      <c r="BA31" t="s">
        <v>141</v>
      </c>
      <c r="BC31" t="s">
        <v>144</v>
      </c>
      <c r="BD31" t="s">
        <v>485</v>
      </c>
      <c r="BF31" t="s">
        <v>124</v>
      </c>
      <c r="BG31" t="s">
        <v>97</v>
      </c>
      <c r="BI31" t="s">
        <v>219</v>
      </c>
      <c r="BK31" t="s">
        <v>49</v>
      </c>
      <c r="BM31" t="s">
        <v>171</v>
      </c>
      <c r="BQ31" t="s">
        <v>127</v>
      </c>
      <c r="BR31" t="s">
        <v>486</v>
      </c>
    </row>
    <row r="32" spans="1:70" x14ac:dyDescent="0.25">
      <c r="A32">
        <v>30</v>
      </c>
      <c r="B32" t="s">
        <v>487</v>
      </c>
      <c r="C32" t="s">
        <v>488</v>
      </c>
      <c r="D32">
        <v>1305</v>
      </c>
      <c r="E32">
        <v>128</v>
      </c>
      <c r="F32" s="1">
        <v>0.1779</v>
      </c>
      <c r="G32">
        <v>22.77</v>
      </c>
      <c r="H32">
        <v>22.77</v>
      </c>
      <c r="I32">
        <v>5070</v>
      </c>
      <c r="J32" t="s">
        <v>72</v>
      </c>
      <c r="K32">
        <v>7510</v>
      </c>
      <c r="L32" s="1">
        <v>8.8000000000000005E-3</v>
      </c>
      <c r="M32">
        <v>15345</v>
      </c>
      <c r="N32" s="1">
        <v>1.35E-2</v>
      </c>
      <c r="O32">
        <v>349405.65</v>
      </c>
      <c r="P32" s="1">
        <v>6.3E-3</v>
      </c>
      <c r="Q32">
        <v>28944</v>
      </c>
      <c r="R32">
        <v>482843</v>
      </c>
      <c r="S32" s="1">
        <v>5.9900000000000002E-2</v>
      </c>
      <c r="T32">
        <v>620</v>
      </c>
      <c r="U32">
        <v>12841</v>
      </c>
      <c r="Y32" t="s">
        <v>73</v>
      </c>
      <c r="Z32" t="s">
        <v>190</v>
      </c>
      <c r="AA32" t="s">
        <v>489</v>
      </c>
      <c r="AB32" s="2">
        <v>41423.360914351855</v>
      </c>
      <c r="AC32" t="s">
        <v>224</v>
      </c>
      <c r="AD32" t="s">
        <v>193</v>
      </c>
      <c r="AE32">
        <v>5740</v>
      </c>
      <c r="AF32" t="s">
        <v>78</v>
      </c>
      <c r="AG32" s="1">
        <v>0.99270000000000003</v>
      </c>
      <c r="AH32" t="s">
        <v>79</v>
      </c>
      <c r="AI32" t="s">
        <v>80</v>
      </c>
      <c r="AK32" s="3">
        <v>42239</v>
      </c>
      <c r="AL32" s="4">
        <v>0.86365740740740737</v>
      </c>
      <c r="AM32" s="5">
        <v>0.10688657407407408</v>
      </c>
      <c r="AN32" t="s">
        <v>194</v>
      </c>
      <c r="AO32" t="s">
        <v>490</v>
      </c>
      <c r="AP32" t="s">
        <v>491</v>
      </c>
      <c r="AQ32" t="s">
        <v>85</v>
      </c>
      <c r="AR32" t="s">
        <v>164</v>
      </c>
      <c r="AS32" t="s">
        <v>115</v>
      </c>
      <c r="AT32" t="s">
        <v>144</v>
      </c>
      <c r="AU32" t="s">
        <v>89</v>
      </c>
      <c r="AV32" t="s">
        <v>492</v>
      </c>
      <c r="AW32" t="s">
        <v>493</v>
      </c>
      <c r="AX32" t="s">
        <v>494</v>
      </c>
      <c r="AY32" t="s">
        <v>326</v>
      </c>
      <c r="AZ32" t="s">
        <v>120</v>
      </c>
      <c r="BA32" t="s">
        <v>121</v>
      </c>
      <c r="BC32" t="s">
        <v>144</v>
      </c>
      <c r="BD32" t="s">
        <v>243</v>
      </c>
      <c r="BE32">
        <v>1305</v>
      </c>
      <c r="BF32" t="s">
        <v>201</v>
      </c>
      <c r="BG32" t="s">
        <v>97</v>
      </c>
      <c r="BI32" t="s">
        <v>219</v>
      </c>
      <c r="BJ32" t="s">
        <v>495</v>
      </c>
      <c r="BK32" t="s">
        <v>49</v>
      </c>
      <c r="BM32" t="s">
        <v>98</v>
      </c>
      <c r="BN32" t="s">
        <v>144</v>
      </c>
      <c r="BP32" t="s">
        <v>496</v>
      </c>
      <c r="BQ32" t="s">
        <v>100</v>
      </c>
      <c r="BR32" t="s">
        <v>497</v>
      </c>
    </row>
    <row r="33" spans="1:70" x14ac:dyDescent="0.25">
      <c r="A33">
        <v>31</v>
      </c>
      <c r="B33" t="s">
        <v>498</v>
      </c>
      <c r="C33" t="s">
        <v>499</v>
      </c>
      <c r="E33">
        <v>111</v>
      </c>
      <c r="F33" s="1">
        <v>0.2432</v>
      </c>
      <c r="G33">
        <v>27</v>
      </c>
      <c r="H33">
        <v>27</v>
      </c>
      <c r="I33">
        <v>26367</v>
      </c>
      <c r="J33" t="s">
        <v>72</v>
      </c>
      <c r="K33">
        <v>7452</v>
      </c>
      <c r="L33" s="1">
        <v>8.6999999999999994E-3</v>
      </c>
      <c r="M33">
        <v>7822</v>
      </c>
      <c r="N33" s="1">
        <v>6.8999999999999999E-3</v>
      </c>
      <c r="O33">
        <v>211194</v>
      </c>
      <c r="P33" s="1">
        <v>3.8E-3</v>
      </c>
      <c r="Q33">
        <v>36440</v>
      </c>
      <c r="R33">
        <v>73622</v>
      </c>
      <c r="S33" s="1">
        <v>0.495</v>
      </c>
      <c r="T33">
        <v>6</v>
      </c>
      <c r="U33">
        <v>4974</v>
      </c>
      <c r="Y33" t="s">
        <v>189</v>
      </c>
      <c r="Z33" t="s">
        <v>175</v>
      </c>
      <c r="AA33" t="s">
        <v>500</v>
      </c>
      <c r="AB33" s="2">
        <v>41738.736759259256</v>
      </c>
      <c r="AC33" t="s">
        <v>76</v>
      </c>
      <c r="AD33" t="s">
        <v>109</v>
      </c>
      <c r="AE33">
        <v>5722</v>
      </c>
      <c r="AF33" t="s">
        <v>78</v>
      </c>
      <c r="AG33" s="1">
        <v>0.96989999999999998</v>
      </c>
      <c r="AH33" t="s">
        <v>79</v>
      </c>
      <c r="AI33" t="s">
        <v>80</v>
      </c>
      <c r="AK33" s="3">
        <v>42239</v>
      </c>
      <c r="AL33" s="4">
        <v>0.92021990740740733</v>
      </c>
      <c r="AM33" s="5">
        <v>0.16344907407407408</v>
      </c>
      <c r="AN33" t="s">
        <v>194</v>
      </c>
      <c r="AO33" t="s">
        <v>501</v>
      </c>
      <c r="AP33" t="s">
        <v>502</v>
      </c>
      <c r="AQ33" t="s">
        <v>85</v>
      </c>
      <c r="AR33" t="s">
        <v>283</v>
      </c>
      <c r="AS33" t="s">
        <v>115</v>
      </c>
      <c r="AT33" t="s">
        <v>116</v>
      </c>
      <c r="AU33" t="s">
        <v>89</v>
      </c>
      <c r="AV33" t="s">
        <v>503</v>
      </c>
      <c r="AX33" t="s">
        <v>287</v>
      </c>
      <c r="AY33" t="s">
        <v>256</v>
      </c>
      <c r="AZ33" t="s">
        <v>94</v>
      </c>
      <c r="BA33" t="s">
        <v>141</v>
      </c>
      <c r="BC33" t="s">
        <v>144</v>
      </c>
      <c r="BF33" t="s">
        <v>124</v>
      </c>
      <c r="BG33" t="s">
        <v>97</v>
      </c>
      <c r="BI33" t="s">
        <v>219</v>
      </c>
      <c r="BK33" t="s">
        <v>63</v>
      </c>
      <c r="BL33" t="s">
        <v>146</v>
      </c>
      <c r="BM33" t="s">
        <v>98</v>
      </c>
      <c r="BN33" t="s">
        <v>144</v>
      </c>
      <c r="BP33" t="s">
        <v>149</v>
      </c>
      <c r="BQ33" t="s">
        <v>127</v>
      </c>
      <c r="BR33" t="s">
        <v>504</v>
      </c>
    </row>
    <row r="34" spans="1:70" x14ac:dyDescent="0.25">
      <c r="A34">
        <v>32</v>
      </c>
      <c r="B34" t="s">
        <v>505</v>
      </c>
      <c r="C34" t="s">
        <v>506</v>
      </c>
      <c r="D34" t="s">
        <v>507</v>
      </c>
      <c r="E34">
        <v>88</v>
      </c>
      <c r="F34" s="1">
        <v>0.2727</v>
      </c>
      <c r="G34">
        <v>24</v>
      </c>
      <c r="H34">
        <v>24</v>
      </c>
      <c r="I34">
        <v>69092</v>
      </c>
      <c r="J34" t="s">
        <v>72</v>
      </c>
      <c r="K34">
        <v>7395</v>
      </c>
      <c r="L34" s="1">
        <v>8.6E-3</v>
      </c>
      <c r="M34">
        <v>8631</v>
      </c>
      <c r="N34" s="1">
        <v>7.6E-3</v>
      </c>
      <c r="O34">
        <v>207144</v>
      </c>
      <c r="P34" s="1">
        <v>3.7000000000000002E-3</v>
      </c>
      <c r="Q34">
        <v>10296</v>
      </c>
      <c r="R34" t="s">
        <v>154</v>
      </c>
      <c r="S34" t="s">
        <v>154</v>
      </c>
      <c r="T34">
        <v>1</v>
      </c>
      <c r="U34">
        <v>2886</v>
      </c>
      <c r="Z34" t="s">
        <v>74</v>
      </c>
      <c r="AA34" t="s">
        <v>508</v>
      </c>
      <c r="AB34" s="2">
        <v>41466.551851851851</v>
      </c>
      <c r="AC34" t="s">
        <v>192</v>
      </c>
      <c r="AD34" t="s">
        <v>193</v>
      </c>
      <c r="AE34">
        <v>15369</v>
      </c>
      <c r="AF34" t="s">
        <v>159</v>
      </c>
      <c r="AG34" s="1">
        <v>1</v>
      </c>
      <c r="AH34" t="s">
        <v>79</v>
      </c>
      <c r="AI34" t="s">
        <v>80</v>
      </c>
      <c r="AK34" s="3">
        <v>42241</v>
      </c>
      <c r="AL34" s="4">
        <v>0.78923611111111114</v>
      </c>
      <c r="AM34" t="s">
        <v>509</v>
      </c>
      <c r="AN34" t="s">
        <v>251</v>
      </c>
      <c r="AO34" t="s">
        <v>510</v>
      </c>
      <c r="AP34" t="s">
        <v>511</v>
      </c>
      <c r="AQ34" t="s">
        <v>85</v>
      </c>
      <c r="AR34" t="s">
        <v>283</v>
      </c>
      <c r="AT34" t="s">
        <v>88</v>
      </c>
      <c r="AU34" t="s">
        <v>89</v>
      </c>
      <c r="AV34" t="s">
        <v>512</v>
      </c>
      <c r="AW34" t="s">
        <v>91</v>
      </c>
      <c r="AX34" t="s">
        <v>443</v>
      </c>
      <c r="AY34" t="s">
        <v>513</v>
      </c>
      <c r="AZ34" t="s">
        <v>120</v>
      </c>
      <c r="BA34" t="s">
        <v>121</v>
      </c>
      <c r="BB34" t="s">
        <v>269</v>
      </c>
      <c r="BD34" t="s">
        <v>514</v>
      </c>
      <c r="BE34" t="s">
        <v>507</v>
      </c>
      <c r="BF34" t="s">
        <v>168</v>
      </c>
      <c r="BG34" t="s">
        <v>97</v>
      </c>
      <c r="BH34" t="s">
        <v>515</v>
      </c>
      <c r="BI34" t="s">
        <v>219</v>
      </c>
      <c r="BJ34" t="s">
        <v>516</v>
      </c>
      <c r="BK34" t="s">
        <v>49</v>
      </c>
      <c r="BM34" t="s">
        <v>98</v>
      </c>
      <c r="BN34" t="s">
        <v>144</v>
      </c>
      <c r="BP34" t="s">
        <v>149</v>
      </c>
      <c r="BQ34" t="s">
        <v>517</v>
      </c>
      <c r="BR34" t="s">
        <v>518</v>
      </c>
    </row>
    <row r="35" spans="1:70" x14ac:dyDescent="0.25">
      <c r="A35">
        <v>33</v>
      </c>
      <c r="B35" t="s">
        <v>519</v>
      </c>
      <c r="C35" t="s">
        <v>520</v>
      </c>
      <c r="D35">
        <v>25</v>
      </c>
      <c r="E35">
        <v>680</v>
      </c>
      <c r="F35" s="1">
        <v>0.115</v>
      </c>
      <c r="G35">
        <v>78.209999999999994</v>
      </c>
      <c r="H35">
        <v>78.209999999999994</v>
      </c>
      <c r="I35">
        <v>8081</v>
      </c>
      <c r="J35" t="s">
        <v>72</v>
      </c>
      <c r="K35">
        <v>7393</v>
      </c>
      <c r="L35" s="1">
        <v>8.6E-3</v>
      </c>
      <c r="M35">
        <v>7936</v>
      </c>
      <c r="N35" s="1">
        <v>7.0000000000000001E-3</v>
      </c>
      <c r="O35">
        <v>620674.56000000006</v>
      </c>
      <c r="P35" s="1">
        <v>1.12E-2</v>
      </c>
      <c r="Q35">
        <v>37774</v>
      </c>
      <c r="R35">
        <v>57050</v>
      </c>
      <c r="S35" s="1">
        <v>0.66210000000000002</v>
      </c>
      <c r="T35">
        <v>5</v>
      </c>
      <c r="U35">
        <v>2592</v>
      </c>
      <c r="Y35" t="s">
        <v>105</v>
      </c>
      <c r="Z35" t="s">
        <v>175</v>
      </c>
      <c r="AA35" t="s">
        <v>521</v>
      </c>
      <c r="AB35" s="2">
        <v>41052.814976851849</v>
      </c>
      <c r="AC35" t="s">
        <v>224</v>
      </c>
      <c r="AD35" t="s">
        <v>383</v>
      </c>
      <c r="AE35">
        <v>70278</v>
      </c>
      <c r="AF35" t="s">
        <v>78</v>
      </c>
      <c r="AG35" s="1">
        <v>0.98129999999999995</v>
      </c>
      <c r="AH35" t="s">
        <v>79</v>
      </c>
      <c r="AI35" t="s">
        <v>80</v>
      </c>
      <c r="AK35" s="3">
        <v>42244</v>
      </c>
      <c r="AL35" s="4">
        <v>0.59236111111111112</v>
      </c>
      <c r="AM35" t="s">
        <v>522</v>
      </c>
      <c r="AN35" t="s">
        <v>111</v>
      </c>
      <c r="AO35" t="s">
        <v>523</v>
      </c>
      <c r="AP35" t="s">
        <v>524</v>
      </c>
      <c r="AQ35" t="s">
        <v>85</v>
      </c>
      <c r="AR35" t="s">
        <v>86</v>
      </c>
      <c r="AS35" t="s">
        <v>115</v>
      </c>
      <c r="AT35" t="s">
        <v>88</v>
      </c>
      <c r="AU35" t="s">
        <v>89</v>
      </c>
      <c r="AV35" t="s">
        <v>525</v>
      </c>
      <c r="AW35" t="s">
        <v>91</v>
      </c>
      <c r="AX35" t="s">
        <v>92</v>
      </c>
      <c r="AY35" t="s">
        <v>93</v>
      </c>
      <c r="AZ35" t="s">
        <v>140</v>
      </c>
      <c r="BA35" t="s">
        <v>121</v>
      </c>
      <c r="BD35" t="s">
        <v>526</v>
      </c>
      <c r="BE35">
        <v>25</v>
      </c>
      <c r="BF35" t="s">
        <v>201</v>
      </c>
      <c r="BG35" t="s">
        <v>97</v>
      </c>
      <c r="BI35" t="s">
        <v>219</v>
      </c>
      <c r="BK35" t="s">
        <v>49</v>
      </c>
      <c r="BM35" t="s">
        <v>171</v>
      </c>
      <c r="BN35" t="s">
        <v>184</v>
      </c>
      <c r="BP35" t="s">
        <v>149</v>
      </c>
      <c r="BQ35" t="s">
        <v>127</v>
      </c>
      <c r="BR35" t="s">
        <v>527</v>
      </c>
    </row>
    <row r="36" spans="1:70" x14ac:dyDescent="0.25">
      <c r="A36">
        <v>34</v>
      </c>
      <c r="B36" t="s">
        <v>528</v>
      </c>
      <c r="C36" t="s">
        <v>529</v>
      </c>
      <c r="D36">
        <v>8858</v>
      </c>
      <c r="E36">
        <v>91</v>
      </c>
      <c r="F36" s="1">
        <v>0.32969999999999999</v>
      </c>
      <c r="G36">
        <v>30</v>
      </c>
      <c r="H36">
        <v>30</v>
      </c>
      <c r="I36">
        <v>164161</v>
      </c>
      <c r="J36" t="s">
        <v>72</v>
      </c>
      <c r="K36">
        <v>7352</v>
      </c>
      <c r="L36" s="1">
        <v>8.6E-3</v>
      </c>
      <c r="M36">
        <v>9175</v>
      </c>
      <c r="N36" s="1">
        <v>8.0999999999999996E-3</v>
      </c>
      <c r="O36">
        <v>275250</v>
      </c>
      <c r="P36" s="1">
        <v>5.0000000000000001E-3</v>
      </c>
      <c r="Q36">
        <v>32076</v>
      </c>
      <c r="R36">
        <v>72412</v>
      </c>
      <c r="S36" s="1">
        <v>0.443</v>
      </c>
      <c r="T36">
        <v>3</v>
      </c>
      <c r="U36">
        <v>3037</v>
      </c>
      <c r="Y36" t="s">
        <v>530</v>
      </c>
      <c r="Z36" t="s">
        <v>175</v>
      </c>
      <c r="AA36" t="s">
        <v>531</v>
      </c>
      <c r="AB36" s="2">
        <v>41933.247557870367</v>
      </c>
      <c r="AC36" t="s">
        <v>76</v>
      </c>
      <c r="AD36" t="s">
        <v>193</v>
      </c>
      <c r="AE36">
        <v>5773</v>
      </c>
      <c r="AF36" t="s">
        <v>78</v>
      </c>
      <c r="AG36" s="1">
        <v>0.97389999999999999</v>
      </c>
      <c r="AH36" t="s">
        <v>79</v>
      </c>
      <c r="AI36" t="s">
        <v>80</v>
      </c>
      <c r="AK36" s="3">
        <v>42244</v>
      </c>
      <c r="AL36" s="4">
        <v>0.83333333333333337</v>
      </c>
      <c r="AM36" t="s">
        <v>532</v>
      </c>
      <c r="AN36" t="s">
        <v>111</v>
      </c>
      <c r="AO36" t="s">
        <v>533</v>
      </c>
      <c r="AP36" t="s">
        <v>534</v>
      </c>
      <c r="AQ36" t="s">
        <v>85</v>
      </c>
      <c r="AR36" t="s">
        <v>214</v>
      </c>
      <c r="AS36" t="s">
        <v>115</v>
      </c>
      <c r="AT36" t="s">
        <v>88</v>
      </c>
      <c r="AU36" t="s">
        <v>89</v>
      </c>
      <c r="AV36" t="s">
        <v>535</v>
      </c>
      <c r="AW36" t="s">
        <v>91</v>
      </c>
      <c r="AX36" t="s">
        <v>536</v>
      </c>
      <c r="AY36" t="s">
        <v>199</v>
      </c>
      <c r="AZ36" t="s">
        <v>120</v>
      </c>
      <c r="BA36" t="s">
        <v>121</v>
      </c>
      <c r="BC36" t="s">
        <v>242</v>
      </c>
      <c r="BD36" t="s">
        <v>537</v>
      </c>
      <c r="BE36">
        <v>8858</v>
      </c>
      <c r="BF36" t="s">
        <v>168</v>
      </c>
      <c r="BG36" t="s">
        <v>97</v>
      </c>
      <c r="BI36" t="s">
        <v>327</v>
      </c>
      <c r="BJ36" t="s">
        <v>538</v>
      </c>
      <c r="BK36" t="s">
        <v>49</v>
      </c>
      <c r="BM36" t="s">
        <v>98</v>
      </c>
      <c r="BN36" t="s">
        <v>364</v>
      </c>
      <c r="BP36" t="s">
        <v>149</v>
      </c>
      <c r="BQ36" t="s">
        <v>329</v>
      </c>
      <c r="BR36" t="s">
        <v>539</v>
      </c>
    </row>
    <row r="37" spans="1:70" x14ac:dyDescent="0.25">
      <c r="A37">
        <v>35</v>
      </c>
      <c r="B37" t="s">
        <v>540</v>
      </c>
      <c r="C37" t="s">
        <v>541</v>
      </c>
      <c r="E37">
        <v>87</v>
      </c>
      <c r="F37" s="1">
        <v>0.29470000000000002</v>
      </c>
      <c r="G37">
        <v>25.64</v>
      </c>
      <c r="H37">
        <v>25.64</v>
      </c>
      <c r="I37">
        <v>26956</v>
      </c>
      <c r="J37" t="s">
        <v>72</v>
      </c>
      <c r="K37">
        <v>7166</v>
      </c>
      <c r="L37" s="1">
        <v>8.3999999999999995E-3</v>
      </c>
      <c r="M37">
        <v>7929</v>
      </c>
      <c r="N37" s="1">
        <v>7.0000000000000001E-3</v>
      </c>
      <c r="O37">
        <v>203299.56</v>
      </c>
      <c r="P37" s="1">
        <v>3.7000000000000002E-3</v>
      </c>
      <c r="Q37">
        <v>11134</v>
      </c>
      <c r="R37">
        <v>23607</v>
      </c>
      <c r="S37" s="1">
        <v>0.47160000000000002</v>
      </c>
      <c r="T37">
        <v>12</v>
      </c>
      <c r="U37">
        <v>2142</v>
      </c>
      <c r="Y37" t="s">
        <v>542</v>
      </c>
      <c r="Z37" t="s">
        <v>175</v>
      </c>
      <c r="AA37" t="s">
        <v>543</v>
      </c>
      <c r="AB37" s="2">
        <v>41693.619618055556</v>
      </c>
      <c r="AC37" t="s">
        <v>76</v>
      </c>
      <c r="AD37" t="s">
        <v>237</v>
      </c>
      <c r="AE37">
        <v>4113</v>
      </c>
      <c r="AF37" t="s">
        <v>78</v>
      </c>
      <c r="AG37" s="1">
        <v>0.9768</v>
      </c>
      <c r="AH37" t="s">
        <v>79</v>
      </c>
      <c r="AI37" t="s">
        <v>80</v>
      </c>
      <c r="AK37" s="3">
        <v>42245</v>
      </c>
      <c r="AL37" s="4">
        <v>0.88935185185185184</v>
      </c>
      <c r="AM37" t="s">
        <v>544</v>
      </c>
      <c r="AN37" t="s">
        <v>161</v>
      </c>
      <c r="AO37" t="s">
        <v>545</v>
      </c>
      <c r="AP37" t="s">
        <v>546</v>
      </c>
      <c r="AQ37" t="s">
        <v>85</v>
      </c>
      <c r="AR37" t="s">
        <v>86</v>
      </c>
      <c r="AT37" t="s">
        <v>88</v>
      </c>
      <c r="AU37" t="s">
        <v>89</v>
      </c>
      <c r="AV37" t="s">
        <v>547</v>
      </c>
      <c r="AX37" t="s">
        <v>287</v>
      </c>
      <c r="AY37" t="s">
        <v>326</v>
      </c>
      <c r="AZ37" t="s">
        <v>140</v>
      </c>
      <c r="BA37" t="s">
        <v>121</v>
      </c>
      <c r="BC37" t="s">
        <v>242</v>
      </c>
      <c r="BD37" t="s">
        <v>548</v>
      </c>
      <c r="BF37" t="s">
        <v>144</v>
      </c>
      <c r="BG37" t="s">
        <v>97</v>
      </c>
      <c r="BI37" t="s">
        <v>327</v>
      </c>
      <c r="BK37" t="s">
        <v>63</v>
      </c>
      <c r="BL37" t="s">
        <v>245</v>
      </c>
      <c r="BM37" t="s">
        <v>328</v>
      </c>
      <c r="BQ37" t="s">
        <v>329</v>
      </c>
    </row>
    <row r="38" spans="1:70" x14ac:dyDescent="0.25">
      <c r="A38">
        <v>36</v>
      </c>
      <c r="B38" t="s">
        <v>549</v>
      </c>
      <c r="C38" t="s">
        <v>550</v>
      </c>
      <c r="E38">
        <v>140</v>
      </c>
      <c r="F38" s="1">
        <v>0.15</v>
      </c>
      <c r="G38">
        <v>21</v>
      </c>
      <c r="H38">
        <v>21</v>
      </c>
      <c r="I38">
        <v>413406</v>
      </c>
      <c r="J38" t="s">
        <v>72</v>
      </c>
      <c r="K38">
        <v>7121</v>
      </c>
      <c r="L38" s="1">
        <v>8.3000000000000001E-3</v>
      </c>
      <c r="M38">
        <v>11486</v>
      </c>
      <c r="N38" s="1">
        <v>1.01E-2</v>
      </c>
      <c r="O38">
        <v>241206</v>
      </c>
      <c r="P38" s="1">
        <v>4.4000000000000003E-3</v>
      </c>
      <c r="Q38">
        <v>7220</v>
      </c>
      <c r="R38">
        <v>18854</v>
      </c>
      <c r="S38" s="1">
        <v>0.38290000000000002</v>
      </c>
      <c r="T38">
        <v>7</v>
      </c>
      <c r="U38">
        <v>561</v>
      </c>
      <c r="Y38" t="s">
        <v>551</v>
      </c>
      <c r="Z38" t="s">
        <v>132</v>
      </c>
      <c r="AA38" t="s">
        <v>552</v>
      </c>
      <c r="AB38" s="2">
        <v>40998.900833333333</v>
      </c>
      <c r="AC38" t="s">
        <v>209</v>
      </c>
      <c r="AD38" t="s">
        <v>383</v>
      </c>
      <c r="AE38">
        <v>1942</v>
      </c>
      <c r="AF38" t="s">
        <v>78</v>
      </c>
      <c r="AG38" s="1">
        <v>0.99680000000000002</v>
      </c>
      <c r="AH38" t="s">
        <v>79</v>
      </c>
      <c r="AI38" t="s">
        <v>80</v>
      </c>
      <c r="AK38" s="3">
        <v>42239</v>
      </c>
      <c r="AL38" s="4">
        <v>0.90625</v>
      </c>
      <c r="AM38" s="5">
        <v>0.14947916666666666</v>
      </c>
      <c r="AN38" t="s">
        <v>194</v>
      </c>
      <c r="AO38" t="s">
        <v>553</v>
      </c>
      <c r="AP38" t="s">
        <v>554</v>
      </c>
      <c r="AQ38" t="s">
        <v>85</v>
      </c>
      <c r="AR38" t="s">
        <v>86</v>
      </c>
      <c r="AV38" t="s">
        <v>555</v>
      </c>
      <c r="AX38" t="s">
        <v>139</v>
      </c>
      <c r="AY38" t="s">
        <v>93</v>
      </c>
      <c r="AZ38" t="s">
        <v>140</v>
      </c>
      <c r="BA38" t="s">
        <v>141</v>
      </c>
      <c r="BC38" t="s">
        <v>142</v>
      </c>
      <c r="BD38" t="s">
        <v>556</v>
      </c>
      <c r="BF38" t="s">
        <v>144</v>
      </c>
      <c r="BG38" t="s">
        <v>97</v>
      </c>
      <c r="BI38" t="s">
        <v>144</v>
      </c>
      <c r="BJ38" t="s">
        <v>145</v>
      </c>
      <c r="BK38" t="s">
        <v>63</v>
      </c>
      <c r="BL38" t="s">
        <v>146</v>
      </c>
      <c r="BM38" t="s">
        <v>147</v>
      </c>
      <c r="BN38" t="s">
        <v>148</v>
      </c>
      <c r="BP38" t="s">
        <v>149</v>
      </c>
      <c r="BQ38" t="s">
        <v>127</v>
      </c>
      <c r="BR38" t="s">
        <v>557</v>
      </c>
    </row>
    <row r="39" spans="1:70" x14ac:dyDescent="0.25">
      <c r="A39">
        <v>37</v>
      </c>
      <c r="B39" t="s">
        <v>558</v>
      </c>
      <c r="C39" t="s">
        <v>559</v>
      </c>
      <c r="D39" t="s">
        <v>560</v>
      </c>
      <c r="E39">
        <v>158</v>
      </c>
      <c r="F39" s="1">
        <v>0.62029999999999996</v>
      </c>
      <c r="G39">
        <v>98</v>
      </c>
      <c r="H39">
        <v>98</v>
      </c>
      <c r="I39">
        <v>15992</v>
      </c>
      <c r="J39" t="s">
        <v>72</v>
      </c>
      <c r="K39">
        <v>7053</v>
      </c>
      <c r="L39" s="1">
        <v>8.2000000000000007E-3</v>
      </c>
      <c r="M39">
        <v>7537</v>
      </c>
      <c r="N39" s="1">
        <v>6.6E-3</v>
      </c>
      <c r="O39">
        <v>738626</v>
      </c>
      <c r="P39" s="1">
        <v>1.34E-2</v>
      </c>
      <c r="Q39">
        <v>147526</v>
      </c>
      <c r="R39">
        <v>331485</v>
      </c>
      <c r="S39" s="1">
        <v>0.44500000000000001</v>
      </c>
      <c r="T39">
        <v>5</v>
      </c>
      <c r="U39">
        <v>3959</v>
      </c>
      <c r="Y39" t="s">
        <v>561</v>
      </c>
      <c r="Z39" t="s">
        <v>74</v>
      </c>
      <c r="AA39" t="s">
        <v>562</v>
      </c>
      <c r="AB39" s="2">
        <v>39248.55945601852</v>
      </c>
      <c r="AC39" t="s">
        <v>322</v>
      </c>
      <c r="AD39" t="s">
        <v>323</v>
      </c>
      <c r="AE39">
        <v>2664091</v>
      </c>
      <c r="AF39" t="s">
        <v>78</v>
      </c>
      <c r="AG39" s="1">
        <v>0.98970000000000002</v>
      </c>
      <c r="AH39" t="s">
        <v>79</v>
      </c>
      <c r="AI39" t="s">
        <v>80</v>
      </c>
      <c r="AK39" s="3">
        <v>42241</v>
      </c>
      <c r="AL39" s="4">
        <v>0.41666666666666669</v>
      </c>
      <c r="AM39" t="s">
        <v>563</v>
      </c>
      <c r="AN39" t="s">
        <v>251</v>
      </c>
      <c r="AO39" t="s">
        <v>564</v>
      </c>
      <c r="AP39" t="s">
        <v>565</v>
      </c>
      <c r="AQ39" t="s">
        <v>85</v>
      </c>
      <c r="AR39" t="s">
        <v>114</v>
      </c>
      <c r="AS39" t="s">
        <v>115</v>
      </c>
      <c r="AT39" t="s">
        <v>116</v>
      </c>
      <c r="AU39" t="s">
        <v>89</v>
      </c>
      <c r="AV39" t="s">
        <v>566</v>
      </c>
      <c r="AW39" t="s">
        <v>91</v>
      </c>
      <c r="AX39" t="s">
        <v>567</v>
      </c>
      <c r="AY39" t="s">
        <v>93</v>
      </c>
      <c r="AZ39" t="s">
        <v>140</v>
      </c>
      <c r="BC39" t="s">
        <v>242</v>
      </c>
      <c r="BD39" t="s">
        <v>568</v>
      </c>
      <c r="BE39" t="s">
        <v>560</v>
      </c>
      <c r="BF39" t="s">
        <v>569</v>
      </c>
      <c r="BG39" t="s">
        <v>97</v>
      </c>
      <c r="BI39" t="s">
        <v>570</v>
      </c>
      <c r="BK39" t="s">
        <v>49</v>
      </c>
      <c r="BM39" t="s">
        <v>147</v>
      </c>
      <c r="BP39" t="s">
        <v>149</v>
      </c>
      <c r="BQ39" t="s">
        <v>100</v>
      </c>
      <c r="BR39" t="s">
        <v>571</v>
      </c>
    </row>
    <row r="40" spans="1:70" x14ac:dyDescent="0.25">
      <c r="A40">
        <v>38</v>
      </c>
      <c r="B40" t="s">
        <v>572</v>
      </c>
      <c r="C40" t="s">
        <v>573</v>
      </c>
      <c r="E40">
        <v>193</v>
      </c>
      <c r="F40" s="1">
        <v>0.15540000000000001</v>
      </c>
      <c r="G40">
        <v>30</v>
      </c>
      <c r="H40">
        <v>30</v>
      </c>
      <c r="I40">
        <v>11042</v>
      </c>
      <c r="J40" t="s">
        <v>72</v>
      </c>
      <c r="K40">
        <v>6974</v>
      </c>
      <c r="L40" s="1">
        <v>8.0999999999999996E-3</v>
      </c>
      <c r="M40">
        <v>8895</v>
      </c>
      <c r="N40" s="1">
        <v>7.7999999999999996E-3</v>
      </c>
      <c r="O40">
        <v>266850</v>
      </c>
      <c r="P40" s="1">
        <v>4.7999999999999996E-3</v>
      </c>
      <c r="Q40">
        <v>39956</v>
      </c>
      <c r="R40">
        <v>116581</v>
      </c>
      <c r="S40" s="1">
        <v>0.3427</v>
      </c>
      <c r="T40">
        <v>7</v>
      </c>
      <c r="U40">
        <v>8214</v>
      </c>
      <c r="Y40" t="s">
        <v>574</v>
      </c>
      <c r="Z40" t="s">
        <v>175</v>
      </c>
      <c r="AA40" t="s">
        <v>575</v>
      </c>
      <c r="AB40" s="2">
        <v>41500.953993055555</v>
      </c>
      <c r="AC40" t="s">
        <v>76</v>
      </c>
      <c r="AD40" t="s">
        <v>109</v>
      </c>
      <c r="AE40">
        <v>3240</v>
      </c>
      <c r="AF40" t="s">
        <v>78</v>
      </c>
      <c r="AG40" s="1">
        <v>0.95979999999999999</v>
      </c>
      <c r="AH40" t="s">
        <v>79</v>
      </c>
      <c r="AI40" t="s">
        <v>80</v>
      </c>
      <c r="AK40" s="3">
        <v>42244</v>
      </c>
      <c r="AL40" s="4">
        <v>0.88888888888888884</v>
      </c>
      <c r="AM40" t="s">
        <v>576</v>
      </c>
      <c r="AN40" t="s">
        <v>111</v>
      </c>
      <c r="AO40" t="s">
        <v>577</v>
      </c>
      <c r="AP40" t="s">
        <v>578</v>
      </c>
      <c r="AQ40" t="s">
        <v>85</v>
      </c>
      <c r="AR40" t="s">
        <v>86</v>
      </c>
      <c r="AT40" t="s">
        <v>88</v>
      </c>
      <c r="AU40" t="s">
        <v>89</v>
      </c>
      <c r="AV40" t="s">
        <v>579</v>
      </c>
      <c r="AW40" t="s">
        <v>91</v>
      </c>
      <c r="AX40" t="s">
        <v>580</v>
      </c>
      <c r="AY40" t="s">
        <v>93</v>
      </c>
      <c r="AZ40" t="s">
        <v>120</v>
      </c>
      <c r="BA40" t="s">
        <v>121</v>
      </c>
      <c r="BC40" t="s">
        <v>122</v>
      </c>
      <c r="BD40" t="s">
        <v>581</v>
      </c>
      <c r="BF40" t="s">
        <v>124</v>
      </c>
      <c r="BG40" t="s">
        <v>97</v>
      </c>
      <c r="BI40" t="s">
        <v>219</v>
      </c>
      <c r="BK40" t="s">
        <v>49</v>
      </c>
      <c r="BM40" t="s">
        <v>98</v>
      </c>
      <c r="BQ40" t="s">
        <v>100</v>
      </c>
      <c r="BR40" t="s">
        <v>582</v>
      </c>
    </row>
    <row r="41" spans="1:70" x14ac:dyDescent="0.25">
      <c r="A41">
        <v>39</v>
      </c>
      <c r="B41" t="s">
        <v>583</v>
      </c>
      <c r="C41" t="s">
        <v>584</v>
      </c>
      <c r="D41">
        <v>1802</v>
      </c>
      <c r="E41">
        <v>118</v>
      </c>
      <c r="F41" s="1">
        <v>0.1426</v>
      </c>
      <c r="G41">
        <v>16.829999999999998</v>
      </c>
      <c r="H41">
        <v>16.829999999999998</v>
      </c>
      <c r="I41">
        <v>10189</v>
      </c>
      <c r="J41" t="s">
        <v>72</v>
      </c>
      <c r="K41">
        <v>6965</v>
      </c>
      <c r="L41" s="1">
        <v>8.0999999999999996E-3</v>
      </c>
      <c r="M41">
        <v>17656</v>
      </c>
      <c r="N41" s="1">
        <v>1.5599999999999999E-2</v>
      </c>
      <c r="O41">
        <v>297150.48</v>
      </c>
      <c r="P41" s="1">
        <v>5.4000000000000003E-3</v>
      </c>
      <c r="Q41">
        <v>9080</v>
      </c>
      <c r="R41">
        <v>68915</v>
      </c>
      <c r="S41" s="1">
        <v>0.1318</v>
      </c>
      <c r="T41">
        <v>10</v>
      </c>
      <c r="U41">
        <v>5887</v>
      </c>
      <c r="Y41" t="s">
        <v>105</v>
      </c>
      <c r="Z41" t="s">
        <v>190</v>
      </c>
      <c r="AA41" t="s">
        <v>585</v>
      </c>
      <c r="AB41" s="2">
        <v>41511.616805555554</v>
      </c>
      <c r="AC41" t="s">
        <v>76</v>
      </c>
      <c r="AD41" t="s">
        <v>193</v>
      </c>
      <c r="AE41">
        <v>2499</v>
      </c>
      <c r="AF41" t="s">
        <v>78</v>
      </c>
      <c r="AG41" s="1">
        <v>0.96660000000000001</v>
      </c>
      <c r="AH41" t="s">
        <v>79</v>
      </c>
      <c r="AI41" t="s">
        <v>80</v>
      </c>
      <c r="AK41" s="3">
        <v>42240</v>
      </c>
      <c r="AL41" s="4">
        <v>0.92358796296296297</v>
      </c>
      <c r="AM41" t="s">
        <v>586</v>
      </c>
      <c r="AN41" t="s">
        <v>82</v>
      </c>
      <c r="AO41" t="s">
        <v>587</v>
      </c>
      <c r="AP41" t="s">
        <v>588</v>
      </c>
      <c r="AQ41" t="s">
        <v>85</v>
      </c>
      <c r="AR41" t="s">
        <v>86</v>
      </c>
      <c r="AT41" t="s">
        <v>88</v>
      </c>
      <c r="AU41" t="s">
        <v>89</v>
      </c>
      <c r="AV41" t="s">
        <v>589</v>
      </c>
      <c r="AX41" t="s">
        <v>590</v>
      </c>
      <c r="AY41" t="s">
        <v>326</v>
      </c>
      <c r="AZ41" t="s">
        <v>94</v>
      </c>
      <c r="BA41" t="s">
        <v>121</v>
      </c>
      <c r="BC41" t="s">
        <v>144</v>
      </c>
      <c r="BD41" t="s">
        <v>591</v>
      </c>
      <c r="BE41">
        <v>1802</v>
      </c>
      <c r="BF41" t="s">
        <v>96</v>
      </c>
      <c r="BG41" t="s">
        <v>97</v>
      </c>
      <c r="BI41" t="s">
        <v>219</v>
      </c>
      <c r="BK41" t="s">
        <v>63</v>
      </c>
      <c r="BL41" t="s">
        <v>592</v>
      </c>
      <c r="BM41" t="s">
        <v>98</v>
      </c>
      <c r="BQ41" t="s">
        <v>100</v>
      </c>
      <c r="BR41" t="s">
        <v>593</v>
      </c>
    </row>
    <row r="42" spans="1:70" x14ac:dyDescent="0.25">
      <c r="A42">
        <v>40</v>
      </c>
      <c r="B42" t="s">
        <v>594</v>
      </c>
      <c r="C42" t="s">
        <v>595</v>
      </c>
      <c r="E42">
        <v>55</v>
      </c>
      <c r="F42" s="1">
        <v>0.5</v>
      </c>
      <c r="G42">
        <v>27.5</v>
      </c>
      <c r="H42">
        <v>27.5</v>
      </c>
      <c r="I42">
        <v>31731</v>
      </c>
      <c r="J42" t="s">
        <v>72</v>
      </c>
      <c r="K42">
        <v>6892</v>
      </c>
      <c r="L42" s="1">
        <v>8.0999999999999996E-3</v>
      </c>
      <c r="M42">
        <v>8711</v>
      </c>
      <c r="N42" s="1">
        <v>7.7000000000000002E-3</v>
      </c>
      <c r="O42">
        <v>239552.5</v>
      </c>
      <c r="P42" s="1">
        <v>4.3E-3</v>
      </c>
      <c r="Q42">
        <v>7830</v>
      </c>
      <c r="R42">
        <v>21619</v>
      </c>
      <c r="S42" s="1">
        <v>0.36220000000000002</v>
      </c>
      <c r="T42">
        <v>4</v>
      </c>
      <c r="U42">
        <v>435</v>
      </c>
      <c r="Y42" t="s">
        <v>596</v>
      </c>
      <c r="Z42" t="s">
        <v>175</v>
      </c>
      <c r="AA42" t="s">
        <v>597</v>
      </c>
      <c r="AB42" s="2">
        <v>41333.520300925928</v>
      </c>
      <c r="AC42" t="s">
        <v>407</v>
      </c>
      <c r="AD42" t="s">
        <v>237</v>
      </c>
      <c r="AE42">
        <v>2280</v>
      </c>
      <c r="AF42" t="s">
        <v>78</v>
      </c>
      <c r="AG42" s="1">
        <v>0.97230000000000005</v>
      </c>
      <c r="AH42" t="s">
        <v>79</v>
      </c>
      <c r="AI42" t="s">
        <v>80</v>
      </c>
      <c r="AK42" s="3">
        <v>42240</v>
      </c>
      <c r="AL42" s="4">
        <v>0.9194444444444444</v>
      </c>
      <c r="AM42" t="s">
        <v>598</v>
      </c>
      <c r="AN42" t="s">
        <v>82</v>
      </c>
      <c r="AO42" t="s">
        <v>599</v>
      </c>
      <c r="AP42" t="s">
        <v>600</v>
      </c>
      <c r="AQ42" t="s">
        <v>85</v>
      </c>
      <c r="AR42" t="s">
        <v>601</v>
      </c>
      <c r="AT42" t="s">
        <v>88</v>
      </c>
      <c r="AU42" t="s">
        <v>89</v>
      </c>
      <c r="AV42" t="s">
        <v>602</v>
      </c>
      <c r="AW42" t="s">
        <v>91</v>
      </c>
      <c r="AX42" t="s">
        <v>603</v>
      </c>
      <c r="AY42" t="s">
        <v>93</v>
      </c>
      <c r="AZ42" t="s">
        <v>94</v>
      </c>
      <c r="BA42" t="s">
        <v>121</v>
      </c>
      <c r="BC42" t="s">
        <v>313</v>
      </c>
      <c r="BD42" t="s">
        <v>604</v>
      </c>
      <c r="BF42" t="s">
        <v>168</v>
      </c>
      <c r="BG42" t="s">
        <v>97</v>
      </c>
      <c r="BI42" t="s">
        <v>219</v>
      </c>
      <c r="BK42" t="s">
        <v>49</v>
      </c>
      <c r="BM42" t="s">
        <v>98</v>
      </c>
      <c r="BN42" t="s">
        <v>99</v>
      </c>
      <c r="BP42" t="s">
        <v>126</v>
      </c>
      <c r="BQ42" t="s">
        <v>100</v>
      </c>
    </row>
    <row r="43" spans="1:70" x14ac:dyDescent="0.25">
      <c r="A43">
        <v>41</v>
      </c>
      <c r="B43" t="s">
        <v>605</v>
      </c>
      <c r="C43" t="s">
        <v>606</v>
      </c>
      <c r="D43">
        <v>1203</v>
      </c>
      <c r="E43">
        <v>78</v>
      </c>
      <c r="F43" s="1">
        <v>0.35539999999999999</v>
      </c>
      <c r="G43">
        <v>27.72</v>
      </c>
      <c r="H43">
        <v>27.72</v>
      </c>
      <c r="I43">
        <v>18942</v>
      </c>
      <c r="J43" t="s">
        <v>72</v>
      </c>
      <c r="K43">
        <v>6816</v>
      </c>
      <c r="L43" s="1">
        <v>8.0000000000000002E-3</v>
      </c>
      <c r="M43">
        <v>8167</v>
      </c>
      <c r="N43" s="1">
        <v>7.1999999999999998E-3</v>
      </c>
      <c r="O43">
        <v>226389.24</v>
      </c>
      <c r="P43" s="1">
        <v>4.1000000000000003E-3</v>
      </c>
      <c r="Q43">
        <v>40584</v>
      </c>
      <c r="R43">
        <v>114713</v>
      </c>
      <c r="S43" s="1">
        <v>0.3538</v>
      </c>
      <c r="T43">
        <v>7</v>
      </c>
      <c r="U43">
        <v>10097</v>
      </c>
      <c r="Y43" t="s">
        <v>574</v>
      </c>
      <c r="Z43" t="s">
        <v>175</v>
      </c>
      <c r="AA43" t="s">
        <v>607</v>
      </c>
      <c r="AB43" s="2">
        <v>41039.054155092592</v>
      </c>
      <c r="AC43" t="s">
        <v>76</v>
      </c>
      <c r="AD43" t="s">
        <v>307</v>
      </c>
      <c r="AE43">
        <v>2345</v>
      </c>
      <c r="AF43" t="s">
        <v>78</v>
      </c>
      <c r="AG43" s="1">
        <v>0.98329999999999995</v>
      </c>
      <c r="AH43" t="s">
        <v>79</v>
      </c>
      <c r="AI43" t="s">
        <v>80</v>
      </c>
      <c r="AK43" s="3">
        <v>42242</v>
      </c>
      <c r="AL43" s="4">
        <v>0.88549768518518512</v>
      </c>
      <c r="AM43" t="s">
        <v>608</v>
      </c>
      <c r="AN43" t="s">
        <v>135</v>
      </c>
      <c r="AO43" t="s">
        <v>609</v>
      </c>
      <c r="AP43" t="s">
        <v>610</v>
      </c>
      <c r="AQ43" t="s">
        <v>85</v>
      </c>
      <c r="AR43" t="s">
        <v>214</v>
      </c>
      <c r="AT43" t="s">
        <v>611</v>
      </c>
      <c r="AU43" t="s">
        <v>89</v>
      </c>
      <c r="AV43" t="s">
        <v>612</v>
      </c>
      <c r="AW43" t="s">
        <v>216</v>
      </c>
      <c r="AX43" t="s">
        <v>613</v>
      </c>
      <c r="AY43" t="s">
        <v>326</v>
      </c>
      <c r="AZ43" t="s">
        <v>230</v>
      </c>
      <c r="BA43" t="s">
        <v>141</v>
      </c>
      <c r="BC43" t="s">
        <v>242</v>
      </c>
      <c r="BD43" t="s">
        <v>614</v>
      </c>
      <c r="BE43">
        <v>1203</v>
      </c>
      <c r="BF43" t="s">
        <v>201</v>
      </c>
      <c r="BG43" t="s">
        <v>97</v>
      </c>
      <c r="BI43" t="s">
        <v>144</v>
      </c>
      <c r="BK43" t="s">
        <v>49</v>
      </c>
      <c r="BM43" t="s">
        <v>328</v>
      </c>
      <c r="BN43" t="s">
        <v>144</v>
      </c>
      <c r="BP43" t="s">
        <v>149</v>
      </c>
      <c r="BQ43" t="s">
        <v>127</v>
      </c>
      <c r="BR43" t="s">
        <v>615</v>
      </c>
    </row>
    <row r="44" spans="1:70" x14ac:dyDescent="0.25">
      <c r="A44">
        <v>42</v>
      </c>
      <c r="B44" t="s">
        <v>616</v>
      </c>
      <c r="C44" t="s">
        <v>617</v>
      </c>
      <c r="E44">
        <v>290</v>
      </c>
      <c r="F44" s="1">
        <v>0.46260000000000001</v>
      </c>
      <c r="G44">
        <v>134.16</v>
      </c>
      <c r="H44">
        <v>134.16</v>
      </c>
      <c r="I44">
        <v>1715</v>
      </c>
      <c r="J44" t="s">
        <v>72</v>
      </c>
      <c r="K44">
        <v>6811</v>
      </c>
      <c r="L44" s="1">
        <v>8.0000000000000002E-3</v>
      </c>
      <c r="M44">
        <v>7755</v>
      </c>
      <c r="N44" s="1">
        <v>6.7999999999999996E-3</v>
      </c>
      <c r="O44">
        <v>1040410.8</v>
      </c>
      <c r="P44" s="1">
        <v>1.8800000000000001E-2</v>
      </c>
      <c r="Q44">
        <v>75770</v>
      </c>
      <c r="R44">
        <v>135914</v>
      </c>
      <c r="S44" s="1">
        <v>0.5575</v>
      </c>
      <c r="T44">
        <v>8</v>
      </c>
      <c r="U44">
        <v>4643</v>
      </c>
      <c r="Y44" t="s">
        <v>189</v>
      </c>
      <c r="Z44" t="s">
        <v>74</v>
      </c>
      <c r="AA44" t="s">
        <v>618</v>
      </c>
      <c r="AB44" s="2">
        <v>41590.454652777778</v>
      </c>
      <c r="AC44" t="s">
        <v>76</v>
      </c>
      <c r="AD44" t="s">
        <v>77</v>
      </c>
      <c r="AE44">
        <v>15853</v>
      </c>
      <c r="AF44" t="s">
        <v>78</v>
      </c>
      <c r="AG44" s="1">
        <v>0.99219999999999997</v>
      </c>
      <c r="AH44" t="s">
        <v>79</v>
      </c>
      <c r="AI44" t="s">
        <v>80</v>
      </c>
      <c r="AK44" s="3">
        <v>42246</v>
      </c>
      <c r="AL44" s="4">
        <v>0.58819444444444446</v>
      </c>
      <c r="AM44" t="s">
        <v>619</v>
      </c>
      <c r="AN44" t="s">
        <v>194</v>
      </c>
      <c r="AO44" t="s">
        <v>620</v>
      </c>
      <c r="AP44" t="s">
        <v>621</v>
      </c>
      <c r="AQ44" t="s">
        <v>85</v>
      </c>
      <c r="AR44" t="s">
        <v>283</v>
      </c>
      <c r="AS44" t="s">
        <v>115</v>
      </c>
      <c r="AT44" t="s">
        <v>622</v>
      </c>
      <c r="AU44" t="s">
        <v>89</v>
      </c>
      <c r="AV44" t="s">
        <v>623</v>
      </c>
      <c r="AW44" t="s">
        <v>91</v>
      </c>
      <c r="AX44" t="s">
        <v>92</v>
      </c>
      <c r="AY44" t="s">
        <v>199</v>
      </c>
      <c r="AZ44" t="s">
        <v>120</v>
      </c>
      <c r="BA44" t="s">
        <v>363</v>
      </c>
      <c r="BC44" t="s">
        <v>242</v>
      </c>
      <c r="BD44" t="s">
        <v>624</v>
      </c>
      <c r="BF44" t="s">
        <v>201</v>
      </c>
      <c r="BG44" t="s">
        <v>97</v>
      </c>
      <c r="BI44" t="s">
        <v>625</v>
      </c>
      <c r="BK44" t="s">
        <v>49</v>
      </c>
      <c r="BM44" t="s">
        <v>328</v>
      </c>
      <c r="BN44" t="s">
        <v>144</v>
      </c>
      <c r="BQ44" t="s">
        <v>100</v>
      </c>
      <c r="BR44" t="s">
        <v>626</v>
      </c>
    </row>
    <row r="45" spans="1:70" x14ac:dyDescent="0.25">
      <c r="A45">
        <v>43</v>
      </c>
      <c r="B45" t="s">
        <v>627</v>
      </c>
      <c r="C45" t="s">
        <v>628</v>
      </c>
      <c r="E45">
        <v>98</v>
      </c>
      <c r="F45" s="1">
        <v>0.38569999999999999</v>
      </c>
      <c r="G45">
        <v>37.799999999999997</v>
      </c>
      <c r="H45">
        <v>37.799999999999997</v>
      </c>
      <c r="I45">
        <v>90248</v>
      </c>
      <c r="J45" t="s">
        <v>72</v>
      </c>
      <c r="K45">
        <v>6753</v>
      </c>
      <c r="L45" s="1">
        <v>7.9000000000000008E-3</v>
      </c>
      <c r="M45">
        <v>10282</v>
      </c>
      <c r="N45" s="1">
        <v>9.1000000000000004E-3</v>
      </c>
      <c r="O45">
        <v>388659.6</v>
      </c>
      <c r="P45" s="1">
        <v>7.0000000000000001E-3</v>
      </c>
      <c r="Q45">
        <v>23772</v>
      </c>
      <c r="R45">
        <v>41788</v>
      </c>
      <c r="S45" s="1">
        <v>0.56889999999999996</v>
      </c>
      <c r="T45">
        <v>9</v>
      </c>
      <c r="U45">
        <v>3055</v>
      </c>
      <c r="Y45" t="s">
        <v>629</v>
      </c>
      <c r="Z45" t="s">
        <v>175</v>
      </c>
      <c r="AA45" t="s">
        <v>630</v>
      </c>
      <c r="AB45" s="2">
        <v>41669.632395833331</v>
      </c>
      <c r="AC45" t="s">
        <v>108</v>
      </c>
      <c r="AD45" t="s">
        <v>383</v>
      </c>
      <c r="AE45">
        <v>7628</v>
      </c>
      <c r="AF45" t="s">
        <v>78</v>
      </c>
      <c r="AG45" s="1">
        <v>0.98650000000000004</v>
      </c>
      <c r="AH45" t="s">
        <v>79</v>
      </c>
      <c r="AI45" t="s">
        <v>80</v>
      </c>
      <c r="AK45" s="3">
        <v>42239</v>
      </c>
      <c r="AL45" s="4">
        <v>0.97776620370370371</v>
      </c>
      <c r="AM45" s="5">
        <v>0.2209837962962963</v>
      </c>
      <c r="AN45" t="s">
        <v>194</v>
      </c>
      <c r="AO45" t="s">
        <v>631</v>
      </c>
      <c r="AP45" t="s">
        <v>632</v>
      </c>
      <c r="AQ45" t="s">
        <v>85</v>
      </c>
      <c r="AR45" t="s">
        <v>164</v>
      </c>
      <c r="AS45" t="s">
        <v>115</v>
      </c>
      <c r="AT45" t="s">
        <v>88</v>
      </c>
      <c r="AU45" t="s">
        <v>89</v>
      </c>
      <c r="AV45" t="s">
        <v>633</v>
      </c>
      <c r="AW45" t="s">
        <v>216</v>
      </c>
      <c r="AX45" t="s">
        <v>287</v>
      </c>
      <c r="AY45" t="s">
        <v>326</v>
      </c>
      <c r="AZ45" t="s">
        <v>140</v>
      </c>
      <c r="BA45" t="s">
        <v>141</v>
      </c>
      <c r="BC45" t="s">
        <v>144</v>
      </c>
      <c r="BD45" t="s">
        <v>634</v>
      </c>
      <c r="BF45" t="s">
        <v>168</v>
      </c>
      <c r="BG45" t="s">
        <v>97</v>
      </c>
      <c r="BI45" t="s">
        <v>219</v>
      </c>
      <c r="BK45" t="s">
        <v>49</v>
      </c>
      <c r="BM45" t="s">
        <v>171</v>
      </c>
      <c r="BN45" t="s">
        <v>184</v>
      </c>
      <c r="BQ45" t="s">
        <v>127</v>
      </c>
      <c r="BR45" t="s">
        <v>635</v>
      </c>
    </row>
    <row r="46" spans="1:70" x14ac:dyDescent="0.25">
      <c r="A46">
        <v>44</v>
      </c>
      <c r="B46" t="s">
        <v>636</v>
      </c>
      <c r="C46" t="s">
        <v>637</v>
      </c>
      <c r="D46">
        <v>8715</v>
      </c>
      <c r="E46">
        <v>101</v>
      </c>
      <c r="F46" s="1">
        <v>0.21779999999999999</v>
      </c>
      <c r="G46">
        <v>22</v>
      </c>
      <c r="H46">
        <v>22</v>
      </c>
      <c r="I46">
        <v>11936</v>
      </c>
      <c r="J46" t="s">
        <v>72</v>
      </c>
      <c r="K46">
        <v>6689</v>
      </c>
      <c r="L46" s="1">
        <v>7.7999999999999996E-3</v>
      </c>
      <c r="M46">
        <v>8261</v>
      </c>
      <c r="N46" s="1">
        <v>7.3000000000000001E-3</v>
      </c>
      <c r="O46">
        <v>181742</v>
      </c>
      <c r="P46" s="1">
        <v>3.3E-3</v>
      </c>
      <c r="Q46">
        <v>26408</v>
      </c>
      <c r="R46">
        <v>29308</v>
      </c>
      <c r="S46" s="1">
        <v>0.90110000000000001</v>
      </c>
      <c r="T46">
        <v>9</v>
      </c>
      <c r="U46">
        <v>1555</v>
      </c>
      <c r="Y46" t="s">
        <v>638</v>
      </c>
      <c r="Z46" t="s">
        <v>175</v>
      </c>
      <c r="AA46" t="s">
        <v>639</v>
      </c>
      <c r="AB46" s="2">
        <v>42144.831365740742</v>
      </c>
      <c r="AC46" t="s">
        <v>640</v>
      </c>
      <c r="AD46" t="s">
        <v>237</v>
      </c>
      <c r="AE46">
        <v>1392</v>
      </c>
      <c r="AF46" t="s">
        <v>78</v>
      </c>
      <c r="AG46" s="1">
        <v>0.98380000000000001</v>
      </c>
      <c r="AH46" t="s">
        <v>79</v>
      </c>
      <c r="AI46" t="s">
        <v>80</v>
      </c>
      <c r="AK46" s="3">
        <v>42244</v>
      </c>
      <c r="AL46" s="4">
        <v>0.4911342592592593</v>
      </c>
      <c r="AM46" t="s">
        <v>641</v>
      </c>
      <c r="AN46" t="s">
        <v>111</v>
      </c>
      <c r="AO46" t="s">
        <v>642</v>
      </c>
      <c r="AP46" t="s">
        <v>643</v>
      </c>
      <c r="AQ46" t="s">
        <v>85</v>
      </c>
      <c r="AR46" t="s">
        <v>86</v>
      </c>
      <c r="AT46" t="s">
        <v>88</v>
      </c>
      <c r="AU46" t="s">
        <v>89</v>
      </c>
      <c r="AV46" t="s">
        <v>644</v>
      </c>
      <c r="AW46" t="s">
        <v>267</v>
      </c>
      <c r="AX46" t="s">
        <v>645</v>
      </c>
      <c r="AY46" t="s">
        <v>326</v>
      </c>
      <c r="AZ46" t="s">
        <v>230</v>
      </c>
      <c r="BA46" t="s">
        <v>141</v>
      </c>
      <c r="BC46" t="s">
        <v>242</v>
      </c>
      <c r="BD46" t="s">
        <v>646</v>
      </c>
      <c r="BE46">
        <v>8715</v>
      </c>
      <c r="BF46" t="s">
        <v>201</v>
      </c>
      <c r="BG46" t="s">
        <v>97</v>
      </c>
      <c r="BI46" t="s">
        <v>219</v>
      </c>
      <c r="BJ46" t="s">
        <v>145</v>
      </c>
      <c r="BK46" t="s">
        <v>49</v>
      </c>
      <c r="BM46" t="s">
        <v>171</v>
      </c>
      <c r="BN46" t="s">
        <v>184</v>
      </c>
      <c r="BP46" t="s">
        <v>149</v>
      </c>
      <c r="BQ46" t="s">
        <v>127</v>
      </c>
      <c r="BR46" t="s">
        <v>647</v>
      </c>
    </row>
    <row r="47" spans="1:70" x14ac:dyDescent="0.25">
      <c r="A47">
        <v>45</v>
      </c>
      <c r="B47" t="s">
        <v>648</v>
      </c>
      <c r="C47" t="s">
        <v>649</v>
      </c>
      <c r="E47">
        <v>49</v>
      </c>
      <c r="F47" s="1">
        <v>0.40200000000000002</v>
      </c>
      <c r="G47">
        <v>19.7</v>
      </c>
      <c r="H47">
        <v>19.7</v>
      </c>
      <c r="I47">
        <v>67904</v>
      </c>
      <c r="J47" t="s">
        <v>72</v>
      </c>
      <c r="K47">
        <v>6636</v>
      </c>
      <c r="L47" s="1">
        <v>7.7999999999999996E-3</v>
      </c>
      <c r="M47">
        <v>9514</v>
      </c>
      <c r="N47" s="1">
        <v>8.3999999999999995E-3</v>
      </c>
      <c r="O47">
        <v>187425.8</v>
      </c>
      <c r="P47" s="1">
        <v>3.3999999999999998E-3</v>
      </c>
      <c r="Q47">
        <v>23104</v>
      </c>
      <c r="R47">
        <v>117941</v>
      </c>
      <c r="S47" s="1">
        <v>0.19589999999999999</v>
      </c>
      <c r="T47">
        <v>34</v>
      </c>
      <c r="U47">
        <v>7435</v>
      </c>
      <c r="W47" t="s">
        <v>650</v>
      </c>
      <c r="Y47" t="s">
        <v>629</v>
      </c>
      <c r="Z47" t="s">
        <v>651</v>
      </c>
      <c r="AA47" t="s">
        <v>652</v>
      </c>
      <c r="AB47" s="2">
        <v>41617.511412037034</v>
      </c>
      <c r="AC47" t="s">
        <v>192</v>
      </c>
      <c r="AD47" t="s">
        <v>358</v>
      </c>
      <c r="AE47">
        <v>9441</v>
      </c>
      <c r="AF47" t="s">
        <v>78</v>
      </c>
      <c r="AG47" s="1">
        <v>0.97470000000000001</v>
      </c>
      <c r="AH47" t="s">
        <v>79</v>
      </c>
      <c r="AI47" t="s">
        <v>80</v>
      </c>
      <c r="AK47" s="3">
        <v>42244</v>
      </c>
      <c r="AL47" s="4">
        <v>0.60355324074074079</v>
      </c>
      <c r="AM47" t="s">
        <v>653</v>
      </c>
      <c r="AN47" t="s">
        <v>111</v>
      </c>
      <c r="AO47" t="s">
        <v>654</v>
      </c>
      <c r="AP47" t="s">
        <v>655</v>
      </c>
      <c r="AQ47" t="s">
        <v>85</v>
      </c>
      <c r="AR47" t="s">
        <v>164</v>
      </c>
      <c r="AT47" t="s">
        <v>88</v>
      </c>
      <c r="AU47" t="s">
        <v>89</v>
      </c>
      <c r="AV47" t="s">
        <v>656</v>
      </c>
      <c r="AW47" t="s">
        <v>91</v>
      </c>
      <c r="AX47" t="s">
        <v>657</v>
      </c>
      <c r="AY47" t="s">
        <v>256</v>
      </c>
      <c r="AZ47" t="s">
        <v>230</v>
      </c>
      <c r="BA47" t="s">
        <v>363</v>
      </c>
      <c r="BC47" t="s">
        <v>122</v>
      </c>
      <c r="BF47" t="s">
        <v>96</v>
      </c>
      <c r="BG47" t="s">
        <v>97</v>
      </c>
      <c r="BI47" t="s">
        <v>144</v>
      </c>
      <c r="BK47" t="s">
        <v>49</v>
      </c>
      <c r="BM47" t="s">
        <v>98</v>
      </c>
      <c r="BN47" t="s">
        <v>364</v>
      </c>
      <c r="BQ47" t="s">
        <v>127</v>
      </c>
      <c r="BR47" t="s">
        <v>658</v>
      </c>
    </row>
    <row r="48" spans="1:70" x14ac:dyDescent="0.25">
      <c r="A48">
        <v>46</v>
      </c>
      <c r="B48" t="s">
        <v>659</v>
      </c>
      <c r="C48" t="s">
        <v>660</v>
      </c>
      <c r="D48" t="s">
        <v>661</v>
      </c>
      <c r="E48">
        <v>188</v>
      </c>
      <c r="F48" s="1">
        <v>0.25800000000000001</v>
      </c>
      <c r="G48">
        <v>48.51</v>
      </c>
      <c r="H48">
        <v>48.51</v>
      </c>
      <c r="I48">
        <v>1842</v>
      </c>
      <c r="J48" t="s">
        <v>72</v>
      </c>
      <c r="K48">
        <v>6628</v>
      </c>
      <c r="L48" s="1">
        <v>7.7000000000000002E-3</v>
      </c>
      <c r="M48">
        <v>6936</v>
      </c>
      <c r="N48" s="1">
        <v>6.1000000000000004E-3</v>
      </c>
      <c r="O48">
        <v>336465.36</v>
      </c>
      <c r="P48" s="1">
        <v>6.1000000000000004E-3</v>
      </c>
      <c r="Q48">
        <v>13166</v>
      </c>
      <c r="R48">
        <v>37012</v>
      </c>
      <c r="S48" s="1">
        <v>0.35570000000000002</v>
      </c>
      <c r="T48">
        <v>4</v>
      </c>
      <c r="U48">
        <v>1216</v>
      </c>
      <c r="Y48" t="s">
        <v>131</v>
      </c>
      <c r="Z48" t="s">
        <v>175</v>
      </c>
      <c r="AA48" t="s">
        <v>662</v>
      </c>
      <c r="AB48" s="2">
        <v>40874.997696759259</v>
      </c>
      <c r="AC48" t="s">
        <v>640</v>
      </c>
      <c r="AD48" t="s">
        <v>663</v>
      </c>
      <c r="AE48">
        <v>3787</v>
      </c>
      <c r="AF48" t="s">
        <v>78</v>
      </c>
      <c r="AG48" s="1">
        <v>0.96099999999999997</v>
      </c>
      <c r="AH48" t="s">
        <v>79</v>
      </c>
      <c r="AI48" t="s">
        <v>80</v>
      </c>
      <c r="AK48" s="3">
        <v>42245</v>
      </c>
      <c r="AL48" s="4">
        <v>0.89189814814814816</v>
      </c>
      <c r="AM48" t="s">
        <v>664</v>
      </c>
      <c r="AN48" t="s">
        <v>161</v>
      </c>
      <c r="AO48" t="s">
        <v>665</v>
      </c>
      <c r="AP48" t="s">
        <v>666</v>
      </c>
      <c r="AQ48" t="s">
        <v>85</v>
      </c>
      <c r="AR48" t="s">
        <v>472</v>
      </c>
      <c r="AS48" t="s">
        <v>115</v>
      </c>
      <c r="AT48" t="s">
        <v>88</v>
      </c>
      <c r="AU48" t="s">
        <v>240</v>
      </c>
      <c r="AV48" t="s">
        <v>667</v>
      </c>
      <c r="AX48" t="s">
        <v>668</v>
      </c>
      <c r="AY48" t="s">
        <v>144</v>
      </c>
      <c r="AZ48" t="s">
        <v>94</v>
      </c>
      <c r="BA48" t="s">
        <v>121</v>
      </c>
      <c r="BC48" t="s">
        <v>217</v>
      </c>
      <c r="BD48" t="s">
        <v>231</v>
      </c>
      <c r="BE48" t="s">
        <v>661</v>
      </c>
      <c r="BF48" t="s">
        <v>124</v>
      </c>
      <c r="BG48" t="s">
        <v>97</v>
      </c>
      <c r="BI48" t="s">
        <v>144</v>
      </c>
      <c r="BK48" t="s">
        <v>66</v>
      </c>
      <c r="BM48" t="s">
        <v>171</v>
      </c>
      <c r="BN48" t="s">
        <v>184</v>
      </c>
      <c r="BO48" t="s">
        <v>185</v>
      </c>
      <c r="BP48" t="s">
        <v>126</v>
      </c>
      <c r="BQ48" t="s">
        <v>127</v>
      </c>
      <c r="BR48" t="s">
        <v>669</v>
      </c>
    </row>
    <row r="49" spans="1:70" x14ac:dyDescent="0.25">
      <c r="A49">
        <v>47</v>
      </c>
      <c r="B49" t="s">
        <v>670</v>
      </c>
      <c r="C49" t="s">
        <v>671</v>
      </c>
      <c r="D49">
        <v>8077</v>
      </c>
      <c r="E49">
        <v>299</v>
      </c>
      <c r="F49" s="1">
        <v>0.2616</v>
      </c>
      <c r="G49">
        <v>78.209999999999994</v>
      </c>
      <c r="H49">
        <v>78.209999999999994</v>
      </c>
      <c r="I49">
        <v>12404</v>
      </c>
      <c r="J49" t="s">
        <v>72</v>
      </c>
      <c r="K49">
        <v>6595</v>
      </c>
      <c r="L49" s="1">
        <v>7.7000000000000002E-3</v>
      </c>
      <c r="M49">
        <v>9444</v>
      </c>
      <c r="N49" s="1">
        <v>8.3000000000000001E-3</v>
      </c>
      <c r="O49">
        <v>738615.24</v>
      </c>
      <c r="P49" s="1">
        <v>1.34E-2</v>
      </c>
      <c r="Q49">
        <v>47860</v>
      </c>
      <c r="R49">
        <v>76793</v>
      </c>
      <c r="S49" s="1">
        <v>0.62319999999999998</v>
      </c>
      <c r="T49">
        <v>7</v>
      </c>
      <c r="U49">
        <v>2092</v>
      </c>
      <c r="Y49" t="s">
        <v>672</v>
      </c>
      <c r="Z49" t="s">
        <v>175</v>
      </c>
      <c r="AA49" t="s">
        <v>673</v>
      </c>
      <c r="AB49" s="2">
        <v>41447.796678240738</v>
      </c>
      <c r="AC49" t="s">
        <v>76</v>
      </c>
      <c r="AD49" t="s">
        <v>358</v>
      </c>
      <c r="AE49">
        <v>15070</v>
      </c>
      <c r="AF49" t="s">
        <v>78</v>
      </c>
      <c r="AG49" s="1">
        <v>0.98299999999999998</v>
      </c>
      <c r="AH49" t="s">
        <v>79</v>
      </c>
      <c r="AI49" t="s">
        <v>80</v>
      </c>
      <c r="AK49" s="3">
        <v>42242</v>
      </c>
      <c r="AL49" s="4">
        <v>0.88194444444444453</v>
      </c>
      <c r="AM49" t="s">
        <v>674</v>
      </c>
      <c r="AN49" t="s">
        <v>135</v>
      </c>
      <c r="AO49" t="s">
        <v>675</v>
      </c>
      <c r="AP49" t="s">
        <v>676</v>
      </c>
      <c r="AQ49" t="s">
        <v>85</v>
      </c>
      <c r="AR49" t="s">
        <v>283</v>
      </c>
      <c r="AS49" t="s">
        <v>115</v>
      </c>
      <c r="AT49" t="s">
        <v>88</v>
      </c>
      <c r="AU49" t="s">
        <v>89</v>
      </c>
      <c r="AV49" t="s">
        <v>677</v>
      </c>
      <c r="AW49" t="s">
        <v>216</v>
      </c>
      <c r="AX49" t="s">
        <v>92</v>
      </c>
      <c r="AY49" t="s">
        <v>93</v>
      </c>
      <c r="AZ49" t="s">
        <v>94</v>
      </c>
      <c r="BA49" t="s">
        <v>363</v>
      </c>
      <c r="BC49" t="s">
        <v>144</v>
      </c>
      <c r="BD49" t="s">
        <v>678</v>
      </c>
      <c r="BE49">
        <v>8077</v>
      </c>
      <c r="BG49" t="s">
        <v>97</v>
      </c>
      <c r="BJ49" t="s">
        <v>679</v>
      </c>
      <c r="BK49" t="s">
        <v>49</v>
      </c>
      <c r="BN49" t="s">
        <v>184</v>
      </c>
      <c r="BP49" t="s">
        <v>149</v>
      </c>
      <c r="BQ49" t="s">
        <v>127</v>
      </c>
      <c r="BR49" t="s">
        <v>680</v>
      </c>
    </row>
    <row r="50" spans="1:70" x14ac:dyDescent="0.25">
      <c r="A50">
        <v>48</v>
      </c>
      <c r="B50" t="s">
        <v>681</v>
      </c>
      <c r="C50" t="s">
        <v>682</v>
      </c>
      <c r="D50">
        <v>888</v>
      </c>
      <c r="E50">
        <v>158</v>
      </c>
      <c r="F50" s="1">
        <v>0.2525</v>
      </c>
      <c r="G50">
        <v>39.9</v>
      </c>
      <c r="H50">
        <v>39.9</v>
      </c>
      <c r="I50">
        <v>11102</v>
      </c>
      <c r="J50" t="s">
        <v>72</v>
      </c>
      <c r="K50">
        <v>6548</v>
      </c>
      <c r="L50" s="1">
        <v>7.6E-3</v>
      </c>
      <c r="M50">
        <v>8198</v>
      </c>
      <c r="N50" s="1">
        <v>7.1999999999999998E-3</v>
      </c>
      <c r="O50">
        <v>327100.2</v>
      </c>
      <c r="P50" s="1">
        <v>5.8999999999999999E-3</v>
      </c>
      <c r="Q50">
        <v>37044</v>
      </c>
      <c r="R50">
        <v>65682</v>
      </c>
      <c r="S50" s="1">
        <v>0.56399999999999995</v>
      </c>
      <c r="T50">
        <v>7</v>
      </c>
      <c r="U50">
        <v>4593</v>
      </c>
      <c r="Y50" t="s">
        <v>425</v>
      </c>
      <c r="Z50" t="s">
        <v>175</v>
      </c>
      <c r="AA50" t="s">
        <v>683</v>
      </c>
      <c r="AB50" s="2">
        <v>41903.836099537039</v>
      </c>
      <c r="AC50" t="s">
        <v>108</v>
      </c>
      <c r="AD50" t="s">
        <v>237</v>
      </c>
      <c r="AE50">
        <v>4841</v>
      </c>
      <c r="AF50" t="s">
        <v>78</v>
      </c>
      <c r="AG50" s="1">
        <v>0.92290000000000005</v>
      </c>
      <c r="AH50" t="s">
        <v>79</v>
      </c>
      <c r="AI50" t="s">
        <v>80</v>
      </c>
      <c r="AK50" s="3">
        <v>42241</v>
      </c>
      <c r="AL50" s="4">
        <v>9.0277777777777776E-2</v>
      </c>
      <c r="AM50" t="s">
        <v>684</v>
      </c>
      <c r="AN50" t="s">
        <v>251</v>
      </c>
      <c r="AO50" t="s">
        <v>685</v>
      </c>
      <c r="AP50" t="s">
        <v>686</v>
      </c>
      <c r="AQ50" t="s">
        <v>85</v>
      </c>
      <c r="AS50" t="s">
        <v>115</v>
      </c>
      <c r="AT50" t="s">
        <v>88</v>
      </c>
      <c r="AU50" t="s">
        <v>240</v>
      </c>
      <c r="AV50" t="s">
        <v>687</v>
      </c>
      <c r="AX50" t="s">
        <v>688</v>
      </c>
      <c r="AY50" t="s">
        <v>93</v>
      </c>
      <c r="AZ50" t="s">
        <v>94</v>
      </c>
      <c r="BC50" t="s">
        <v>689</v>
      </c>
      <c r="BE50">
        <v>888</v>
      </c>
      <c r="BF50" t="s">
        <v>144</v>
      </c>
      <c r="BG50" t="s">
        <v>97</v>
      </c>
      <c r="BI50" t="s">
        <v>219</v>
      </c>
      <c r="BJ50" t="s">
        <v>690</v>
      </c>
      <c r="BK50" t="s">
        <v>49</v>
      </c>
      <c r="BM50" t="s">
        <v>98</v>
      </c>
      <c r="BQ50" t="s">
        <v>100</v>
      </c>
      <c r="BR50" t="s">
        <v>691</v>
      </c>
    </row>
    <row r="51" spans="1:70" x14ac:dyDescent="0.25">
      <c r="A51">
        <v>49</v>
      </c>
      <c r="B51" t="s">
        <v>692</v>
      </c>
      <c r="C51" t="s">
        <v>693</v>
      </c>
      <c r="D51" t="s">
        <v>694</v>
      </c>
      <c r="E51">
        <v>498</v>
      </c>
      <c r="F51" s="1">
        <v>5.96E-2</v>
      </c>
      <c r="G51">
        <v>29.7</v>
      </c>
      <c r="H51">
        <v>29.7</v>
      </c>
      <c r="I51">
        <v>393081</v>
      </c>
      <c r="J51">
        <v>5</v>
      </c>
      <c r="K51">
        <v>6289</v>
      </c>
      <c r="L51" s="1">
        <v>7.3000000000000001E-3</v>
      </c>
      <c r="M51">
        <v>8070</v>
      </c>
      <c r="N51" s="1">
        <v>7.1000000000000004E-3</v>
      </c>
      <c r="O51">
        <v>239679</v>
      </c>
      <c r="P51" s="1">
        <v>4.3E-3</v>
      </c>
      <c r="Q51">
        <v>43462</v>
      </c>
      <c r="R51" t="s">
        <v>154</v>
      </c>
      <c r="S51" t="s">
        <v>154</v>
      </c>
      <c r="T51">
        <v>10</v>
      </c>
      <c r="U51">
        <v>13850</v>
      </c>
      <c r="W51" t="s">
        <v>293</v>
      </c>
      <c r="Z51" t="s">
        <v>74</v>
      </c>
      <c r="AA51" t="s">
        <v>294</v>
      </c>
      <c r="AB51" s="2">
        <v>41746.486747685187</v>
      </c>
      <c r="AC51" t="s">
        <v>192</v>
      </c>
      <c r="AD51" t="s">
        <v>158</v>
      </c>
      <c r="AE51">
        <v>45399</v>
      </c>
      <c r="AF51" t="s">
        <v>159</v>
      </c>
      <c r="AG51" s="1">
        <v>1</v>
      </c>
      <c r="AH51" t="s">
        <v>79</v>
      </c>
      <c r="AI51" t="s">
        <v>80</v>
      </c>
      <c r="AK51" s="3">
        <v>42244</v>
      </c>
      <c r="AL51" s="4">
        <v>0.94467592592592586</v>
      </c>
      <c r="AM51" t="s">
        <v>695</v>
      </c>
      <c r="AN51" t="s">
        <v>111</v>
      </c>
      <c r="AO51" t="s">
        <v>696</v>
      </c>
      <c r="AP51" t="s">
        <v>697</v>
      </c>
      <c r="AQ51" t="s">
        <v>85</v>
      </c>
      <c r="AR51" t="s">
        <v>164</v>
      </c>
      <c r="AS51" t="s">
        <v>115</v>
      </c>
      <c r="AT51" t="s">
        <v>88</v>
      </c>
      <c r="AU51" t="s">
        <v>89</v>
      </c>
      <c r="AV51" t="s">
        <v>698</v>
      </c>
      <c r="AW51" t="s">
        <v>91</v>
      </c>
      <c r="AX51" t="s">
        <v>699</v>
      </c>
      <c r="AY51" t="s">
        <v>199</v>
      </c>
      <c r="AZ51" t="s">
        <v>230</v>
      </c>
      <c r="BA51" t="s">
        <v>121</v>
      </c>
      <c r="BB51" t="s">
        <v>269</v>
      </c>
      <c r="BC51" t="s">
        <v>242</v>
      </c>
      <c r="BD51" t="s">
        <v>700</v>
      </c>
      <c r="BE51" t="s">
        <v>694</v>
      </c>
      <c r="BF51" t="s">
        <v>124</v>
      </c>
      <c r="BG51" t="s">
        <v>97</v>
      </c>
      <c r="BH51" t="s">
        <v>272</v>
      </c>
      <c r="BI51" t="s">
        <v>219</v>
      </c>
      <c r="BJ51" t="s">
        <v>301</v>
      </c>
      <c r="BK51" t="s">
        <v>49</v>
      </c>
      <c r="BM51" t="s">
        <v>98</v>
      </c>
      <c r="BN51" t="s">
        <v>125</v>
      </c>
      <c r="BP51" t="s">
        <v>126</v>
      </c>
      <c r="BQ51" t="s">
        <v>100</v>
      </c>
      <c r="BR51" t="s">
        <v>701</v>
      </c>
    </row>
    <row r="52" spans="1:70" x14ac:dyDescent="0.25">
      <c r="A52">
        <v>50</v>
      </c>
      <c r="B52" t="s">
        <v>702</v>
      </c>
      <c r="C52" t="s">
        <v>703</v>
      </c>
      <c r="E52">
        <v>173</v>
      </c>
      <c r="F52" s="1">
        <v>0.1908</v>
      </c>
      <c r="G52">
        <v>33</v>
      </c>
      <c r="H52">
        <v>33</v>
      </c>
      <c r="I52">
        <v>28996</v>
      </c>
      <c r="J52" t="s">
        <v>72</v>
      </c>
      <c r="K52">
        <v>6286</v>
      </c>
      <c r="L52" s="1">
        <v>7.3000000000000001E-3</v>
      </c>
      <c r="M52">
        <v>8616</v>
      </c>
      <c r="N52" s="1">
        <v>7.6E-3</v>
      </c>
      <c r="O52">
        <v>284328</v>
      </c>
      <c r="P52" s="1">
        <v>5.1000000000000004E-3</v>
      </c>
      <c r="Q52">
        <v>19784</v>
      </c>
      <c r="R52">
        <v>56334</v>
      </c>
      <c r="S52" s="1">
        <v>0.35120000000000001</v>
      </c>
      <c r="T52">
        <v>19</v>
      </c>
      <c r="U52">
        <v>1785</v>
      </c>
      <c r="Y52" t="s">
        <v>105</v>
      </c>
      <c r="Z52" t="s">
        <v>175</v>
      </c>
      <c r="AA52" t="s">
        <v>704</v>
      </c>
      <c r="AB52" s="2">
        <v>41808.710740740738</v>
      </c>
      <c r="AC52" t="s">
        <v>224</v>
      </c>
      <c r="AD52" t="s">
        <v>109</v>
      </c>
      <c r="AE52">
        <v>24456</v>
      </c>
      <c r="AF52" t="s">
        <v>78</v>
      </c>
      <c r="AG52" s="1">
        <v>0.98480000000000001</v>
      </c>
      <c r="AH52" t="s">
        <v>79</v>
      </c>
      <c r="AI52" t="s">
        <v>80</v>
      </c>
      <c r="AK52" s="3">
        <v>42242</v>
      </c>
      <c r="AL52" s="4">
        <v>0.91666666666666663</v>
      </c>
      <c r="AM52" t="s">
        <v>705</v>
      </c>
      <c r="AN52" t="s">
        <v>135</v>
      </c>
      <c r="AO52" t="s">
        <v>706</v>
      </c>
      <c r="AP52" t="s">
        <v>707</v>
      </c>
      <c r="AQ52" t="s">
        <v>441</v>
      </c>
      <c r="AR52" t="s">
        <v>164</v>
      </c>
      <c r="AS52" t="s">
        <v>115</v>
      </c>
      <c r="AT52" t="s">
        <v>88</v>
      </c>
      <c r="AU52" t="s">
        <v>240</v>
      </c>
      <c r="AV52" t="s">
        <v>708</v>
      </c>
      <c r="AW52" t="s">
        <v>91</v>
      </c>
      <c r="AX52" t="s">
        <v>92</v>
      </c>
      <c r="AY52" t="s">
        <v>199</v>
      </c>
      <c r="AZ52" t="s">
        <v>140</v>
      </c>
      <c r="BA52" t="s">
        <v>121</v>
      </c>
      <c r="BC52" t="s">
        <v>242</v>
      </c>
      <c r="BD52" t="s">
        <v>709</v>
      </c>
      <c r="BF52" t="s">
        <v>710</v>
      </c>
      <c r="BG52" t="s">
        <v>97</v>
      </c>
      <c r="BI52" t="s">
        <v>711</v>
      </c>
      <c r="BK52" t="s">
        <v>49</v>
      </c>
      <c r="BM52" t="s">
        <v>171</v>
      </c>
      <c r="BN52" t="s">
        <v>184</v>
      </c>
      <c r="BP52" t="s">
        <v>149</v>
      </c>
      <c r="BQ52" t="s">
        <v>100</v>
      </c>
      <c r="BR52" t="s">
        <v>712</v>
      </c>
    </row>
    <row r="53" spans="1:70" x14ac:dyDescent="0.25">
      <c r="A53">
        <v>51</v>
      </c>
      <c r="B53" t="s">
        <v>713</v>
      </c>
      <c r="C53" t="s">
        <v>714</v>
      </c>
      <c r="E53">
        <v>188</v>
      </c>
      <c r="F53" s="1">
        <v>0.2054</v>
      </c>
      <c r="G53">
        <v>38.61</v>
      </c>
      <c r="H53">
        <v>38.61</v>
      </c>
      <c r="I53">
        <v>150101</v>
      </c>
      <c r="J53" t="s">
        <v>72</v>
      </c>
      <c r="K53">
        <v>6214</v>
      </c>
      <c r="L53" s="1">
        <v>7.3000000000000001E-3</v>
      </c>
      <c r="M53">
        <v>8671</v>
      </c>
      <c r="N53" s="1">
        <v>7.6E-3</v>
      </c>
      <c r="O53">
        <v>334787.31</v>
      </c>
      <c r="P53" s="1">
        <v>6.1000000000000004E-3</v>
      </c>
      <c r="Q53">
        <v>35890</v>
      </c>
      <c r="R53">
        <v>39701</v>
      </c>
      <c r="S53" s="1">
        <v>0.90400000000000003</v>
      </c>
      <c r="T53">
        <v>2</v>
      </c>
      <c r="U53">
        <v>1491</v>
      </c>
      <c r="Y53" t="s">
        <v>425</v>
      </c>
      <c r="Z53" t="s">
        <v>175</v>
      </c>
      <c r="AA53" t="s">
        <v>715</v>
      </c>
      <c r="AB53" s="2">
        <v>41691.587222222224</v>
      </c>
      <c r="AC53" t="s">
        <v>108</v>
      </c>
      <c r="AD53" t="s">
        <v>193</v>
      </c>
      <c r="AE53">
        <v>5116</v>
      </c>
      <c r="AF53" t="s">
        <v>78</v>
      </c>
      <c r="AG53" s="1">
        <v>0.97709999999999997</v>
      </c>
      <c r="AH53" t="s">
        <v>79</v>
      </c>
      <c r="AI53" t="s">
        <v>80</v>
      </c>
      <c r="AK53" s="3">
        <v>42239</v>
      </c>
      <c r="AL53" s="4">
        <v>0.79738425925925915</v>
      </c>
      <c r="AM53" t="s">
        <v>716</v>
      </c>
      <c r="AN53" t="s">
        <v>194</v>
      </c>
      <c r="AO53" t="s">
        <v>717</v>
      </c>
      <c r="AP53" t="s">
        <v>718</v>
      </c>
      <c r="AQ53" t="s">
        <v>144</v>
      </c>
      <c r="AR53" t="s">
        <v>114</v>
      </c>
      <c r="AT53" t="s">
        <v>144</v>
      </c>
      <c r="AU53" t="s">
        <v>144</v>
      </c>
      <c r="AV53" t="s">
        <v>227</v>
      </c>
      <c r="AW53" t="s">
        <v>216</v>
      </c>
      <c r="AX53" t="s">
        <v>287</v>
      </c>
      <c r="AY53" t="s">
        <v>144</v>
      </c>
      <c r="AZ53" t="s">
        <v>140</v>
      </c>
      <c r="BA53" t="s">
        <v>363</v>
      </c>
      <c r="BC53" t="s">
        <v>144</v>
      </c>
      <c r="BD53" t="s">
        <v>719</v>
      </c>
      <c r="BF53" t="s">
        <v>144</v>
      </c>
      <c r="BG53" t="s">
        <v>720</v>
      </c>
      <c r="BI53" t="s">
        <v>144</v>
      </c>
      <c r="BK53" t="s">
        <v>49</v>
      </c>
      <c r="BM53" t="s">
        <v>171</v>
      </c>
      <c r="BN53" t="s">
        <v>144</v>
      </c>
      <c r="BQ53" t="s">
        <v>127</v>
      </c>
      <c r="BR53" t="s">
        <v>721</v>
      </c>
    </row>
    <row r="54" spans="1:70" x14ac:dyDescent="0.25">
      <c r="A54">
        <v>52</v>
      </c>
      <c r="B54" t="s">
        <v>722</v>
      </c>
      <c r="C54" t="s">
        <v>723</v>
      </c>
      <c r="D54" t="s">
        <v>724</v>
      </c>
      <c r="E54">
        <v>298</v>
      </c>
      <c r="F54" s="1">
        <v>0.33189999999999997</v>
      </c>
      <c r="G54">
        <v>98.9</v>
      </c>
      <c r="H54">
        <v>98.9</v>
      </c>
      <c r="I54">
        <v>3559</v>
      </c>
      <c r="J54" t="s">
        <v>72</v>
      </c>
      <c r="K54">
        <v>6201</v>
      </c>
      <c r="L54" s="1">
        <v>7.1999999999999998E-3</v>
      </c>
      <c r="M54">
        <v>7999</v>
      </c>
      <c r="N54" s="1">
        <v>7.1000000000000004E-3</v>
      </c>
      <c r="O54">
        <v>791101.1</v>
      </c>
      <c r="P54" s="1">
        <v>1.43E-2</v>
      </c>
      <c r="Q54">
        <v>92930</v>
      </c>
      <c r="R54" t="s">
        <v>154</v>
      </c>
      <c r="S54" t="s">
        <v>154</v>
      </c>
      <c r="T54">
        <v>27</v>
      </c>
      <c r="U54">
        <v>17776</v>
      </c>
      <c r="Z54" t="s">
        <v>74</v>
      </c>
      <c r="AA54" t="s">
        <v>394</v>
      </c>
      <c r="AB54" s="2">
        <v>41592.604097222225</v>
      </c>
      <c r="AC54" t="s">
        <v>236</v>
      </c>
      <c r="AD54" t="s">
        <v>77</v>
      </c>
      <c r="AE54">
        <v>105194</v>
      </c>
      <c r="AF54" t="s">
        <v>159</v>
      </c>
      <c r="AG54" s="1">
        <v>1</v>
      </c>
      <c r="AH54" t="s">
        <v>79</v>
      </c>
      <c r="AI54" t="s">
        <v>80</v>
      </c>
      <c r="AK54" s="3">
        <v>42241</v>
      </c>
      <c r="AL54" s="4">
        <v>0.87513888888888891</v>
      </c>
      <c r="AM54" t="s">
        <v>725</v>
      </c>
      <c r="AN54" t="s">
        <v>251</v>
      </c>
      <c r="AO54" t="s">
        <v>726</v>
      </c>
      <c r="AP54" t="s">
        <v>727</v>
      </c>
      <c r="AQ54" t="s">
        <v>85</v>
      </c>
      <c r="AR54" t="s">
        <v>164</v>
      </c>
      <c r="AT54" t="s">
        <v>116</v>
      </c>
      <c r="AU54" t="s">
        <v>89</v>
      </c>
      <c r="AV54" t="s">
        <v>728</v>
      </c>
      <c r="AW54" t="s">
        <v>91</v>
      </c>
      <c r="AX54" t="s">
        <v>166</v>
      </c>
      <c r="AY54" t="s">
        <v>326</v>
      </c>
      <c r="AZ54" t="s">
        <v>230</v>
      </c>
      <c r="BA54" t="s">
        <v>121</v>
      </c>
      <c r="BC54" t="s">
        <v>242</v>
      </c>
      <c r="BD54" t="s">
        <v>729</v>
      </c>
      <c r="BE54" t="s">
        <v>724</v>
      </c>
      <c r="BF54" t="s">
        <v>201</v>
      </c>
      <c r="BG54" t="s">
        <v>97</v>
      </c>
      <c r="BH54" t="s">
        <v>272</v>
      </c>
      <c r="BI54" t="s">
        <v>144</v>
      </c>
      <c r="BJ54" t="s">
        <v>402</v>
      </c>
      <c r="BK54" t="s">
        <v>49</v>
      </c>
      <c r="BM54" t="s">
        <v>147</v>
      </c>
      <c r="BN54" t="s">
        <v>125</v>
      </c>
      <c r="BP54" t="s">
        <v>126</v>
      </c>
      <c r="BQ54" t="s">
        <v>127</v>
      </c>
      <c r="BR54" t="s">
        <v>730</v>
      </c>
    </row>
    <row r="55" spans="1:70" x14ac:dyDescent="0.25">
      <c r="A55">
        <v>53</v>
      </c>
      <c r="B55" t="s">
        <v>731</v>
      </c>
      <c r="C55" t="s">
        <v>732</v>
      </c>
      <c r="D55" t="s">
        <v>733</v>
      </c>
      <c r="E55">
        <v>588</v>
      </c>
      <c r="F55" s="1">
        <v>0.26329999999999998</v>
      </c>
      <c r="G55">
        <v>154.84</v>
      </c>
      <c r="H55">
        <v>154.84</v>
      </c>
      <c r="I55">
        <v>868</v>
      </c>
      <c r="J55" t="s">
        <v>72</v>
      </c>
      <c r="K55">
        <v>6151</v>
      </c>
      <c r="L55" s="1">
        <v>7.1999999999999998E-3</v>
      </c>
      <c r="M55">
        <v>8187</v>
      </c>
      <c r="N55" s="1">
        <v>7.1999999999999998E-3</v>
      </c>
      <c r="O55">
        <v>1267675.08</v>
      </c>
      <c r="P55" s="1">
        <v>2.29E-2</v>
      </c>
      <c r="Q55">
        <v>68692</v>
      </c>
      <c r="R55">
        <v>137617</v>
      </c>
      <c r="S55" s="1">
        <v>0.49919999999999998</v>
      </c>
      <c r="T55">
        <v>6</v>
      </c>
      <c r="U55">
        <v>1424</v>
      </c>
      <c r="Y55" t="s">
        <v>105</v>
      </c>
      <c r="Z55" t="s">
        <v>74</v>
      </c>
      <c r="AA55" t="s">
        <v>734</v>
      </c>
      <c r="AB55" s="2">
        <v>40342.042372685188</v>
      </c>
      <c r="AC55" t="s">
        <v>224</v>
      </c>
      <c r="AD55" t="s">
        <v>383</v>
      </c>
      <c r="AE55">
        <v>70623</v>
      </c>
      <c r="AF55" t="s">
        <v>78</v>
      </c>
      <c r="AG55" s="1">
        <v>0.97350000000000003</v>
      </c>
      <c r="AH55" t="s">
        <v>79</v>
      </c>
      <c r="AI55" t="s">
        <v>80</v>
      </c>
      <c r="AK55" s="3">
        <v>42242</v>
      </c>
      <c r="AL55" s="4">
        <v>0.91437500000000005</v>
      </c>
      <c r="AM55" t="s">
        <v>735</v>
      </c>
      <c r="AN55" t="s">
        <v>135</v>
      </c>
      <c r="AO55" t="s">
        <v>736</v>
      </c>
      <c r="AP55" t="s">
        <v>737</v>
      </c>
      <c r="AQ55" t="s">
        <v>441</v>
      </c>
      <c r="AR55" t="s">
        <v>283</v>
      </c>
      <c r="AT55" t="s">
        <v>88</v>
      </c>
      <c r="AU55" t="s">
        <v>240</v>
      </c>
      <c r="AV55" t="s">
        <v>738</v>
      </c>
      <c r="AW55" t="s">
        <v>91</v>
      </c>
      <c r="AX55" t="s">
        <v>739</v>
      </c>
      <c r="AY55" t="s">
        <v>740</v>
      </c>
      <c r="AZ55" t="s">
        <v>140</v>
      </c>
      <c r="BA55" t="s">
        <v>121</v>
      </c>
      <c r="BC55" t="s">
        <v>217</v>
      </c>
      <c r="BD55" t="s">
        <v>741</v>
      </c>
      <c r="BE55" t="s">
        <v>733</v>
      </c>
      <c r="BF55" t="s">
        <v>124</v>
      </c>
      <c r="BG55" t="s">
        <v>97</v>
      </c>
      <c r="BI55" t="s">
        <v>219</v>
      </c>
      <c r="BK55" t="s">
        <v>49</v>
      </c>
      <c r="BM55" t="s">
        <v>171</v>
      </c>
      <c r="BN55" t="s">
        <v>144</v>
      </c>
      <c r="BQ55" t="s">
        <v>127</v>
      </c>
      <c r="BR55" t="s">
        <v>742</v>
      </c>
    </row>
    <row r="56" spans="1:70" x14ac:dyDescent="0.25">
      <c r="A56">
        <v>54</v>
      </c>
      <c r="B56" t="s">
        <v>743</v>
      </c>
      <c r="C56" t="s">
        <v>744</v>
      </c>
      <c r="E56">
        <v>84</v>
      </c>
      <c r="F56" s="1">
        <v>0.39290000000000003</v>
      </c>
      <c r="G56">
        <v>33</v>
      </c>
      <c r="H56">
        <v>33</v>
      </c>
      <c r="I56">
        <v>16545</v>
      </c>
      <c r="J56" t="s">
        <v>72</v>
      </c>
      <c r="K56">
        <v>6122</v>
      </c>
      <c r="L56" s="1">
        <v>7.1999999999999998E-3</v>
      </c>
      <c r="M56">
        <v>6967</v>
      </c>
      <c r="N56" s="1">
        <v>6.1000000000000004E-3</v>
      </c>
      <c r="O56">
        <v>229911</v>
      </c>
      <c r="P56" s="1">
        <v>4.1999999999999997E-3</v>
      </c>
      <c r="Q56">
        <v>49316</v>
      </c>
      <c r="R56">
        <v>324009</v>
      </c>
      <c r="S56" s="1">
        <v>0.1522</v>
      </c>
      <c r="T56">
        <v>24</v>
      </c>
      <c r="U56">
        <v>12465</v>
      </c>
      <c r="Y56" t="s">
        <v>73</v>
      </c>
      <c r="Z56" t="s">
        <v>74</v>
      </c>
      <c r="AA56" t="s">
        <v>745</v>
      </c>
      <c r="AB56" s="2">
        <v>41160.864016203705</v>
      </c>
      <c r="AC56" t="s">
        <v>224</v>
      </c>
      <c r="AD56" t="s">
        <v>237</v>
      </c>
      <c r="AE56">
        <v>9519</v>
      </c>
      <c r="AF56" t="s">
        <v>78</v>
      </c>
      <c r="AG56" s="1">
        <v>0.97440000000000004</v>
      </c>
      <c r="AH56" t="s">
        <v>79</v>
      </c>
      <c r="AI56" t="s">
        <v>80</v>
      </c>
      <c r="AK56" s="3">
        <v>42245</v>
      </c>
      <c r="AL56" s="4">
        <v>0.87586805555555547</v>
      </c>
      <c r="AM56" t="s">
        <v>746</v>
      </c>
      <c r="AN56" t="s">
        <v>161</v>
      </c>
      <c r="AO56" t="s">
        <v>747</v>
      </c>
      <c r="AP56" t="s">
        <v>748</v>
      </c>
      <c r="AQ56" t="s">
        <v>213</v>
      </c>
      <c r="AR56" t="s">
        <v>86</v>
      </c>
      <c r="AT56" t="s">
        <v>88</v>
      </c>
      <c r="AU56" t="s">
        <v>89</v>
      </c>
      <c r="AV56" t="s">
        <v>749</v>
      </c>
      <c r="AW56" t="s">
        <v>91</v>
      </c>
      <c r="AX56" t="s">
        <v>750</v>
      </c>
      <c r="AY56" t="s">
        <v>229</v>
      </c>
      <c r="AZ56" t="s">
        <v>230</v>
      </c>
      <c r="BA56" t="s">
        <v>141</v>
      </c>
      <c r="BC56" t="s">
        <v>144</v>
      </c>
      <c r="BD56" t="s">
        <v>751</v>
      </c>
      <c r="BF56" t="s">
        <v>96</v>
      </c>
      <c r="BG56" t="s">
        <v>97</v>
      </c>
      <c r="BI56" t="s">
        <v>219</v>
      </c>
      <c r="BK56" t="s">
        <v>49</v>
      </c>
      <c r="BM56" t="s">
        <v>98</v>
      </c>
      <c r="BN56" t="s">
        <v>144</v>
      </c>
      <c r="BQ56" t="s">
        <v>100</v>
      </c>
      <c r="BR56" t="s">
        <v>752</v>
      </c>
    </row>
    <row r="57" spans="1:70" x14ac:dyDescent="0.25">
      <c r="A57">
        <v>55</v>
      </c>
      <c r="B57" t="s">
        <v>753</v>
      </c>
      <c r="C57" t="s">
        <v>754</v>
      </c>
      <c r="D57" t="s">
        <v>755</v>
      </c>
      <c r="E57">
        <v>298</v>
      </c>
      <c r="F57" s="1">
        <v>0.42949999999999999</v>
      </c>
      <c r="G57">
        <v>128</v>
      </c>
      <c r="H57">
        <v>128</v>
      </c>
      <c r="I57">
        <v>15609</v>
      </c>
      <c r="J57" t="s">
        <v>72</v>
      </c>
      <c r="K57">
        <v>6067</v>
      </c>
      <c r="L57" s="1">
        <v>7.1000000000000004E-3</v>
      </c>
      <c r="M57">
        <v>9502</v>
      </c>
      <c r="N57" s="1">
        <v>8.3999999999999995E-3</v>
      </c>
      <c r="O57">
        <v>1216256</v>
      </c>
      <c r="P57" s="1">
        <v>2.1999999999999999E-2</v>
      </c>
      <c r="Q57">
        <v>89778</v>
      </c>
      <c r="R57" t="s">
        <v>154</v>
      </c>
      <c r="S57" t="s">
        <v>154</v>
      </c>
      <c r="T57">
        <v>19</v>
      </c>
      <c r="U57">
        <v>8612</v>
      </c>
      <c r="Z57" t="s">
        <v>74</v>
      </c>
      <c r="AA57" t="s">
        <v>756</v>
      </c>
      <c r="AB57" s="2">
        <v>41221.716793981483</v>
      </c>
      <c r="AC57" t="s">
        <v>236</v>
      </c>
      <c r="AD57" t="s">
        <v>77</v>
      </c>
      <c r="AE57">
        <v>253048</v>
      </c>
      <c r="AF57" t="s">
        <v>159</v>
      </c>
      <c r="AG57" s="1">
        <v>1</v>
      </c>
      <c r="AH57" t="s">
        <v>79</v>
      </c>
      <c r="AI57" t="s">
        <v>80</v>
      </c>
      <c r="AK57" s="3">
        <v>42244</v>
      </c>
      <c r="AL57" s="4">
        <v>1.6863425925925928E-2</v>
      </c>
      <c r="AM57" t="s">
        <v>757</v>
      </c>
      <c r="AN57" t="s">
        <v>111</v>
      </c>
      <c r="AO57" t="s">
        <v>758</v>
      </c>
      <c r="AP57" t="s">
        <v>759</v>
      </c>
      <c r="AQ57" t="s">
        <v>85</v>
      </c>
      <c r="AR57" t="s">
        <v>164</v>
      </c>
      <c r="AS57" t="s">
        <v>115</v>
      </c>
      <c r="AT57" t="s">
        <v>88</v>
      </c>
      <c r="AU57" t="s">
        <v>89</v>
      </c>
      <c r="AV57" t="s">
        <v>760</v>
      </c>
      <c r="AW57" t="s">
        <v>91</v>
      </c>
      <c r="AX57" t="s">
        <v>761</v>
      </c>
      <c r="AY57" t="s">
        <v>93</v>
      </c>
      <c r="AZ57" t="s">
        <v>120</v>
      </c>
      <c r="BA57" t="s">
        <v>121</v>
      </c>
      <c r="BB57" t="s">
        <v>269</v>
      </c>
      <c r="BC57" t="s">
        <v>144</v>
      </c>
      <c r="BD57" t="s">
        <v>762</v>
      </c>
      <c r="BE57" t="s">
        <v>755</v>
      </c>
      <c r="BF57" t="s">
        <v>168</v>
      </c>
      <c r="BG57" t="s">
        <v>97</v>
      </c>
      <c r="BH57" t="s">
        <v>272</v>
      </c>
      <c r="BI57" t="s">
        <v>219</v>
      </c>
      <c r="BJ57" t="s">
        <v>763</v>
      </c>
      <c r="BK57" t="s">
        <v>49</v>
      </c>
      <c r="BM57" t="s">
        <v>98</v>
      </c>
      <c r="BN57" t="s">
        <v>125</v>
      </c>
      <c r="BP57" t="s">
        <v>126</v>
      </c>
      <c r="BQ57" t="s">
        <v>100</v>
      </c>
      <c r="BR57" t="s">
        <v>764</v>
      </c>
    </row>
    <row r="58" spans="1:70" x14ac:dyDescent="0.25">
      <c r="A58">
        <v>56</v>
      </c>
      <c r="B58" t="s">
        <v>765</v>
      </c>
      <c r="C58" t="s">
        <v>766</v>
      </c>
      <c r="D58">
        <v>8777</v>
      </c>
      <c r="E58">
        <v>124</v>
      </c>
      <c r="F58" s="1">
        <v>0.19350000000000001</v>
      </c>
      <c r="G58">
        <v>24</v>
      </c>
      <c r="H58">
        <v>24</v>
      </c>
      <c r="I58">
        <v>28595</v>
      </c>
      <c r="J58" t="s">
        <v>72</v>
      </c>
      <c r="K58">
        <v>5970</v>
      </c>
      <c r="L58" s="1">
        <v>7.0000000000000001E-3</v>
      </c>
      <c r="M58">
        <v>6443</v>
      </c>
      <c r="N58" s="1">
        <v>5.7000000000000002E-3</v>
      </c>
      <c r="O58">
        <v>154632</v>
      </c>
      <c r="P58" s="1">
        <v>2.8E-3</v>
      </c>
      <c r="Q58">
        <v>26010</v>
      </c>
      <c r="R58">
        <v>29107</v>
      </c>
      <c r="S58" s="1">
        <v>0.89359999999999995</v>
      </c>
      <c r="T58">
        <v>3</v>
      </c>
      <c r="U58">
        <v>2936</v>
      </c>
      <c r="Y58" t="s">
        <v>542</v>
      </c>
      <c r="Z58" t="s">
        <v>74</v>
      </c>
      <c r="AA58" t="s">
        <v>767</v>
      </c>
      <c r="AB58" s="2">
        <v>41586.606180555558</v>
      </c>
      <c r="AC58" t="s">
        <v>407</v>
      </c>
      <c r="AD58" t="s">
        <v>307</v>
      </c>
      <c r="AE58">
        <v>1550</v>
      </c>
      <c r="AF58" t="s">
        <v>78</v>
      </c>
      <c r="AG58" s="1">
        <v>0.98009999999999997</v>
      </c>
      <c r="AH58" t="s">
        <v>79</v>
      </c>
      <c r="AI58" t="s">
        <v>80</v>
      </c>
      <c r="AK58" s="3">
        <v>42245</v>
      </c>
      <c r="AL58" s="4">
        <v>0.90972222222222221</v>
      </c>
      <c r="AM58" t="s">
        <v>768</v>
      </c>
      <c r="AN58" t="s">
        <v>161</v>
      </c>
      <c r="AO58" t="s">
        <v>769</v>
      </c>
      <c r="AP58" t="s">
        <v>770</v>
      </c>
      <c r="AQ58" t="s">
        <v>85</v>
      </c>
      <c r="AR58" t="s">
        <v>283</v>
      </c>
      <c r="AS58" t="s">
        <v>115</v>
      </c>
      <c r="AT58" t="s">
        <v>88</v>
      </c>
      <c r="AU58" t="s">
        <v>89</v>
      </c>
      <c r="AV58" t="s">
        <v>771</v>
      </c>
      <c r="AW58" t="s">
        <v>91</v>
      </c>
      <c r="AX58" t="s">
        <v>772</v>
      </c>
      <c r="AY58" t="s">
        <v>93</v>
      </c>
      <c r="AZ58" t="s">
        <v>140</v>
      </c>
      <c r="BA58" t="s">
        <v>121</v>
      </c>
      <c r="BC58" t="s">
        <v>689</v>
      </c>
      <c r="BD58" t="s">
        <v>773</v>
      </c>
      <c r="BE58">
        <v>8777</v>
      </c>
      <c r="BF58" t="s">
        <v>124</v>
      </c>
      <c r="BG58" t="s">
        <v>97</v>
      </c>
      <c r="BI58" t="s">
        <v>711</v>
      </c>
      <c r="BJ58" t="s">
        <v>774</v>
      </c>
      <c r="BK58" t="s">
        <v>49</v>
      </c>
      <c r="BM58" t="s">
        <v>171</v>
      </c>
      <c r="BP58" t="s">
        <v>149</v>
      </c>
      <c r="BQ58" t="s">
        <v>127</v>
      </c>
      <c r="BR58" t="s">
        <v>775</v>
      </c>
    </row>
    <row r="59" spans="1:70" x14ac:dyDescent="0.25">
      <c r="A59">
        <v>57</v>
      </c>
      <c r="B59" t="s">
        <v>776</v>
      </c>
      <c r="C59" t="s">
        <v>777</v>
      </c>
      <c r="E59">
        <v>93</v>
      </c>
      <c r="F59" s="1">
        <v>0.2581</v>
      </c>
      <c r="G59">
        <v>24</v>
      </c>
      <c r="H59">
        <v>24</v>
      </c>
      <c r="I59">
        <v>74772</v>
      </c>
      <c r="J59" t="s">
        <v>72</v>
      </c>
      <c r="K59">
        <v>5969</v>
      </c>
      <c r="L59" s="1">
        <v>7.0000000000000001E-3</v>
      </c>
      <c r="M59">
        <v>6896</v>
      </c>
      <c r="N59" s="1">
        <v>6.1000000000000004E-3</v>
      </c>
      <c r="O59">
        <v>165504</v>
      </c>
      <c r="P59" s="1">
        <v>3.0000000000000001E-3</v>
      </c>
      <c r="Q59">
        <v>42508</v>
      </c>
      <c r="R59">
        <v>108832</v>
      </c>
      <c r="S59" s="1">
        <v>0.3906</v>
      </c>
      <c r="T59">
        <v>6</v>
      </c>
      <c r="U59">
        <v>6466</v>
      </c>
      <c r="Y59" t="s">
        <v>105</v>
      </c>
      <c r="Z59" t="s">
        <v>175</v>
      </c>
      <c r="AA59" t="s">
        <v>778</v>
      </c>
      <c r="AB59" s="2">
        <v>41605.982939814814</v>
      </c>
      <c r="AC59" t="s">
        <v>224</v>
      </c>
      <c r="AD59" t="s">
        <v>779</v>
      </c>
      <c r="AE59">
        <v>9200</v>
      </c>
      <c r="AF59" t="s">
        <v>78</v>
      </c>
      <c r="AG59" s="1">
        <v>0.94899999999999995</v>
      </c>
      <c r="AH59" t="s">
        <v>79</v>
      </c>
      <c r="AI59" t="s">
        <v>80</v>
      </c>
      <c r="AK59" s="3">
        <v>42244</v>
      </c>
      <c r="AL59" s="4">
        <v>0.83333333333333337</v>
      </c>
      <c r="AM59" t="s">
        <v>780</v>
      </c>
      <c r="AN59" t="s">
        <v>111</v>
      </c>
      <c r="AO59" t="s">
        <v>781</v>
      </c>
      <c r="AP59" t="s">
        <v>782</v>
      </c>
      <c r="AQ59" t="s">
        <v>85</v>
      </c>
      <c r="AR59" t="s">
        <v>86</v>
      </c>
      <c r="AT59" t="s">
        <v>88</v>
      </c>
      <c r="AU59" t="s">
        <v>372</v>
      </c>
      <c r="AV59" t="s">
        <v>783</v>
      </c>
      <c r="AW59" t="s">
        <v>267</v>
      </c>
      <c r="AX59" t="s">
        <v>784</v>
      </c>
      <c r="AY59" t="s">
        <v>199</v>
      </c>
      <c r="AZ59" t="s">
        <v>120</v>
      </c>
      <c r="BA59" t="s">
        <v>363</v>
      </c>
      <c r="BC59" t="s">
        <v>313</v>
      </c>
      <c r="BD59" t="s">
        <v>243</v>
      </c>
      <c r="BF59" t="s">
        <v>168</v>
      </c>
      <c r="BG59" t="s">
        <v>97</v>
      </c>
      <c r="BI59" t="s">
        <v>144</v>
      </c>
      <c r="BJ59" t="s">
        <v>145</v>
      </c>
      <c r="BK59" t="s">
        <v>49</v>
      </c>
      <c r="BM59" t="s">
        <v>147</v>
      </c>
      <c r="BN59" t="s">
        <v>184</v>
      </c>
      <c r="BP59" t="s">
        <v>149</v>
      </c>
      <c r="BQ59" t="s">
        <v>100</v>
      </c>
      <c r="BR59" t="s">
        <v>785</v>
      </c>
    </row>
    <row r="60" spans="1:70" x14ac:dyDescent="0.25">
      <c r="A60">
        <v>58</v>
      </c>
      <c r="B60" t="s">
        <v>786</v>
      </c>
      <c r="C60" t="s">
        <v>787</v>
      </c>
      <c r="E60">
        <v>299</v>
      </c>
      <c r="F60" s="1">
        <v>0.41539999999999999</v>
      </c>
      <c r="G60">
        <v>124.2</v>
      </c>
      <c r="H60">
        <v>124.2</v>
      </c>
      <c r="I60">
        <v>543</v>
      </c>
      <c r="J60" t="s">
        <v>72</v>
      </c>
      <c r="K60">
        <v>5899</v>
      </c>
      <c r="L60" s="1">
        <v>6.8999999999999999E-3</v>
      </c>
      <c r="M60">
        <v>7338</v>
      </c>
      <c r="N60" s="1">
        <v>6.4999999999999997E-3</v>
      </c>
      <c r="O60">
        <v>911379.6</v>
      </c>
      <c r="P60" s="1">
        <v>1.6500000000000001E-2</v>
      </c>
      <c r="Q60">
        <v>24972</v>
      </c>
      <c r="R60">
        <v>98479</v>
      </c>
      <c r="S60" s="1">
        <v>0.25359999999999999</v>
      </c>
      <c r="T60">
        <v>4</v>
      </c>
      <c r="U60">
        <v>950</v>
      </c>
      <c r="Y60" t="s">
        <v>788</v>
      </c>
      <c r="Z60" t="s">
        <v>789</v>
      </c>
      <c r="AA60" t="s">
        <v>790</v>
      </c>
      <c r="AB60" s="2">
        <v>41206.774745370371</v>
      </c>
      <c r="AC60" t="s">
        <v>224</v>
      </c>
      <c r="AD60" t="s">
        <v>383</v>
      </c>
      <c r="AE60">
        <v>54256</v>
      </c>
      <c r="AF60" t="s">
        <v>78</v>
      </c>
      <c r="AG60" s="1">
        <v>0.98599999999999999</v>
      </c>
      <c r="AH60" t="s">
        <v>79</v>
      </c>
      <c r="AI60" t="s">
        <v>80</v>
      </c>
      <c r="AK60" s="3">
        <v>42244</v>
      </c>
      <c r="AL60" s="4">
        <v>0.70731481481481484</v>
      </c>
      <c r="AM60" t="s">
        <v>791</v>
      </c>
      <c r="AN60" t="s">
        <v>111</v>
      </c>
      <c r="AO60" t="s">
        <v>792</v>
      </c>
      <c r="AP60" t="s">
        <v>793</v>
      </c>
      <c r="AQ60" t="s">
        <v>85</v>
      </c>
      <c r="AS60" t="s">
        <v>87</v>
      </c>
      <c r="AT60" t="s">
        <v>116</v>
      </c>
      <c r="AU60" t="s">
        <v>89</v>
      </c>
      <c r="AV60" t="s">
        <v>547</v>
      </c>
      <c r="AW60" t="s">
        <v>216</v>
      </c>
      <c r="AX60" t="s">
        <v>92</v>
      </c>
      <c r="AZ60" t="s">
        <v>94</v>
      </c>
      <c r="BC60" t="s">
        <v>242</v>
      </c>
      <c r="BD60" t="s">
        <v>794</v>
      </c>
      <c r="BF60" t="s">
        <v>271</v>
      </c>
      <c r="BG60" t="s">
        <v>97</v>
      </c>
      <c r="BI60" t="s">
        <v>219</v>
      </c>
      <c r="BK60" t="s">
        <v>49</v>
      </c>
      <c r="BM60" t="s">
        <v>147</v>
      </c>
      <c r="BQ60" t="s">
        <v>100</v>
      </c>
      <c r="BR60" t="s">
        <v>795</v>
      </c>
    </row>
    <row r="61" spans="1:70" x14ac:dyDescent="0.25">
      <c r="A61">
        <v>59</v>
      </c>
      <c r="B61" t="s">
        <v>796</v>
      </c>
      <c r="C61" t="s">
        <v>797</v>
      </c>
      <c r="D61">
        <v>1403</v>
      </c>
      <c r="E61">
        <v>100</v>
      </c>
      <c r="F61" s="1">
        <v>0.21</v>
      </c>
      <c r="G61">
        <v>21</v>
      </c>
      <c r="H61">
        <v>21</v>
      </c>
      <c r="I61">
        <v>102628</v>
      </c>
      <c r="J61" t="s">
        <v>72</v>
      </c>
      <c r="K61">
        <v>5883</v>
      </c>
      <c r="L61" s="1">
        <v>6.8999999999999999E-3</v>
      </c>
      <c r="M61">
        <v>7514</v>
      </c>
      <c r="N61" s="1">
        <v>6.6E-3</v>
      </c>
      <c r="O61">
        <v>157794</v>
      </c>
      <c r="P61" s="1">
        <v>2.8999999999999998E-3</v>
      </c>
      <c r="Q61">
        <v>33448</v>
      </c>
      <c r="R61">
        <v>78057</v>
      </c>
      <c r="S61" s="1">
        <v>0.42849999999999999</v>
      </c>
      <c r="T61">
        <v>17</v>
      </c>
      <c r="U61">
        <v>5279</v>
      </c>
      <c r="Y61" t="s">
        <v>189</v>
      </c>
      <c r="Z61" t="s">
        <v>175</v>
      </c>
      <c r="AA61" t="s">
        <v>798</v>
      </c>
      <c r="AB61" s="2">
        <v>41566.042013888888</v>
      </c>
      <c r="AC61" t="s">
        <v>224</v>
      </c>
      <c r="AD61" t="s">
        <v>237</v>
      </c>
      <c r="AE61">
        <v>5620</v>
      </c>
      <c r="AF61" t="s">
        <v>78</v>
      </c>
      <c r="AG61" s="1">
        <v>0.98570000000000002</v>
      </c>
      <c r="AH61" t="s">
        <v>79</v>
      </c>
      <c r="AI61" t="s">
        <v>80</v>
      </c>
      <c r="AK61" s="3">
        <v>42244</v>
      </c>
      <c r="AL61" s="4">
        <v>0.89692129629629624</v>
      </c>
      <c r="AM61" t="s">
        <v>799</v>
      </c>
      <c r="AN61" t="s">
        <v>111</v>
      </c>
      <c r="AO61" t="s">
        <v>800</v>
      </c>
      <c r="AP61" t="s">
        <v>801</v>
      </c>
      <c r="AQ61" t="s">
        <v>85</v>
      </c>
      <c r="AR61" t="s">
        <v>86</v>
      </c>
      <c r="AS61" t="s">
        <v>115</v>
      </c>
      <c r="AT61" t="s">
        <v>88</v>
      </c>
      <c r="AU61" t="s">
        <v>89</v>
      </c>
      <c r="AV61" t="s">
        <v>802</v>
      </c>
      <c r="AW61" t="s">
        <v>91</v>
      </c>
      <c r="AX61" t="s">
        <v>803</v>
      </c>
      <c r="AY61" t="s">
        <v>144</v>
      </c>
      <c r="AZ61" t="s">
        <v>140</v>
      </c>
      <c r="BA61" t="s">
        <v>121</v>
      </c>
      <c r="BC61" t="s">
        <v>144</v>
      </c>
      <c r="BD61" t="s">
        <v>804</v>
      </c>
      <c r="BE61">
        <v>1403</v>
      </c>
      <c r="BF61" t="s">
        <v>144</v>
      </c>
      <c r="BG61" t="s">
        <v>97</v>
      </c>
      <c r="BI61" t="s">
        <v>219</v>
      </c>
      <c r="BJ61" t="s">
        <v>798</v>
      </c>
      <c r="BK61" t="s">
        <v>49</v>
      </c>
      <c r="BM61" t="s">
        <v>98</v>
      </c>
      <c r="BN61" t="s">
        <v>144</v>
      </c>
      <c r="BP61" t="s">
        <v>149</v>
      </c>
      <c r="BQ61" t="s">
        <v>127</v>
      </c>
      <c r="BR61" t="s">
        <v>805</v>
      </c>
    </row>
    <row r="62" spans="1:70" x14ac:dyDescent="0.25">
      <c r="A62">
        <v>60</v>
      </c>
      <c r="B62" t="s">
        <v>806</v>
      </c>
      <c r="C62" t="s">
        <v>807</v>
      </c>
      <c r="D62" t="s">
        <v>808</v>
      </c>
      <c r="E62">
        <v>198</v>
      </c>
      <c r="F62" s="1">
        <v>0.13589999999999999</v>
      </c>
      <c r="G62">
        <v>26.9</v>
      </c>
      <c r="H62">
        <v>26.9</v>
      </c>
      <c r="I62">
        <v>21351</v>
      </c>
      <c r="J62" t="s">
        <v>72</v>
      </c>
      <c r="K62">
        <v>5773</v>
      </c>
      <c r="L62" s="1">
        <v>6.7000000000000002E-3</v>
      </c>
      <c r="M62">
        <v>6902</v>
      </c>
      <c r="N62" s="1">
        <v>6.1000000000000004E-3</v>
      </c>
      <c r="O62">
        <v>185663.8</v>
      </c>
      <c r="P62" s="1">
        <v>3.3999999999999998E-3</v>
      </c>
      <c r="Q62">
        <v>3386</v>
      </c>
      <c r="R62">
        <v>24146</v>
      </c>
      <c r="S62" s="1">
        <v>0.14019999999999999</v>
      </c>
      <c r="T62">
        <v>3</v>
      </c>
      <c r="U62">
        <v>1654</v>
      </c>
      <c r="Y62" t="s">
        <v>809</v>
      </c>
      <c r="Z62" t="s">
        <v>175</v>
      </c>
      <c r="AA62" t="s">
        <v>810</v>
      </c>
      <c r="AB62" s="2">
        <v>41815.565185185187</v>
      </c>
      <c r="AC62" t="s">
        <v>76</v>
      </c>
      <c r="AD62" t="s">
        <v>307</v>
      </c>
      <c r="AE62">
        <v>1181</v>
      </c>
      <c r="AF62" t="s">
        <v>78</v>
      </c>
      <c r="AG62" s="1">
        <v>0.98109999999999997</v>
      </c>
      <c r="AH62" t="s">
        <v>79</v>
      </c>
      <c r="AI62" t="s">
        <v>80</v>
      </c>
      <c r="AK62" s="3">
        <v>42243</v>
      </c>
      <c r="AL62" s="4">
        <v>0.48200231481481487</v>
      </c>
      <c r="AM62" t="s">
        <v>811</v>
      </c>
      <c r="AN62" t="s">
        <v>179</v>
      </c>
      <c r="AO62" t="s">
        <v>812</v>
      </c>
      <c r="AP62" t="s">
        <v>813</v>
      </c>
      <c r="AQ62" t="s">
        <v>85</v>
      </c>
      <c r="AR62" t="s">
        <v>164</v>
      </c>
      <c r="AT62" t="s">
        <v>116</v>
      </c>
      <c r="AU62" t="s">
        <v>89</v>
      </c>
      <c r="AV62" t="s">
        <v>814</v>
      </c>
      <c r="AW62" t="s">
        <v>91</v>
      </c>
      <c r="AX62" t="s">
        <v>815</v>
      </c>
      <c r="AZ62" t="s">
        <v>94</v>
      </c>
      <c r="BA62" t="s">
        <v>121</v>
      </c>
      <c r="BC62" t="s">
        <v>144</v>
      </c>
      <c r="BD62" t="s">
        <v>243</v>
      </c>
      <c r="BE62" t="s">
        <v>808</v>
      </c>
      <c r="BG62" t="s">
        <v>97</v>
      </c>
      <c r="BI62" t="s">
        <v>816</v>
      </c>
      <c r="BK62" t="s">
        <v>49</v>
      </c>
      <c r="BM62" t="s">
        <v>147</v>
      </c>
      <c r="BN62" t="s">
        <v>99</v>
      </c>
      <c r="BP62" t="s">
        <v>126</v>
      </c>
      <c r="BQ62" t="s">
        <v>100</v>
      </c>
      <c r="BR62" t="s">
        <v>817</v>
      </c>
    </row>
    <row r="63" spans="1:70" x14ac:dyDescent="0.25">
      <c r="A63">
        <v>61</v>
      </c>
      <c r="B63" t="s">
        <v>818</v>
      </c>
      <c r="C63" t="s">
        <v>819</v>
      </c>
      <c r="E63">
        <v>98</v>
      </c>
      <c r="F63" s="1">
        <v>0.37609999999999999</v>
      </c>
      <c r="G63">
        <v>36.86</v>
      </c>
      <c r="H63">
        <v>36.86</v>
      </c>
      <c r="I63">
        <v>54504</v>
      </c>
      <c r="J63" t="s">
        <v>72</v>
      </c>
      <c r="K63">
        <v>5719</v>
      </c>
      <c r="L63" s="1">
        <v>6.7000000000000002E-3</v>
      </c>
      <c r="M63">
        <v>8387</v>
      </c>
      <c r="N63" s="1">
        <v>7.4000000000000003E-3</v>
      </c>
      <c r="O63">
        <v>309144.82</v>
      </c>
      <c r="P63" s="1">
        <v>5.5999999999999999E-3</v>
      </c>
      <c r="Q63">
        <v>22562</v>
      </c>
      <c r="R63">
        <v>31804</v>
      </c>
      <c r="S63" s="1">
        <v>0.70940000000000003</v>
      </c>
      <c r="T63">
        <v>4</v>
      </c>
      <c r="U63">
        <v>3372</v>
      </c>
      <c r="Y63" t="s">
        <v>105</v>
      </c>
      <c r="Z63" t="s">
        <v>175</v>
      </c>
      <c r="AA63" t="s">
        <v>820</v>
      </c>
      <c r="AB63" s="2">
        <v>41270.031307870369</v>
      </c>
      <c r="AC63" t="s">
        <v>224</v>
      </c>
      <c r="AD63" t="s">
        <v>193</v>
      </c>
      <c r="AE63">
        <v>55638</v>
      </c>
      <c r="AF63" t="s">
        <v>78</v>
      </c>
      <c r="AG63" s="1">
        <v>0.96050000000000002</v>
      </c>
      <c r="AH63" t="s">
        <v>79</v>
      </c>
      <c r="AI63" t="s">
        <v>80</v>
      </c>
      <c r="AK63" s="3">
        <v>42242</v>
      </c>
      <c r="AL63" s="4">
        <v>0.8493750000000001</v>
      </c>
      <c r="AM63" t="s">
        <v>821</v>
      </c>
      <c r="AN63" t="s">
        <v>135</v>
      </c>
      <c r="AO63" t="s">
        <v>822</v>
      </c>
      <c r="AP63" t="s">
        <v>823</v>
      </c>
      <c r="AQ63" t="s">
        <v>85</v>
      </c>
      <c r="AR63" t="s">
        <v>601</v>
      </c>
      <c r="AT63" t="s">
        <v>88</v>
      </c>
      <c r="AU63" t="s">
        <v>89</v>
      </c>
      <c r="AV63" t="s">
        <v>824</v>
      </c>
      <c r="AX63" t="s">
        <v>92</v>
      </c>
      <c r="AY63" t="s">
        <v>326</v>
      </c>
      <c r="AZ63" t="s">
        <v>140</v>
      </c>
      <c r="BA63" t="s">
        <v>121</v>
      </c>
      <c r="BC63" t="s">
        <v>313</v>
      </c>
      <c r="BD63" t="s">
        <v>825</v>
      </c>
      <c r="BF63" t="s">
        <v>124</v>
      </c>
      <c r="BG63" t="s">
        <v>97</v>
      </c>
      <c r="BI63" t="s">
        <v>219</v>
      </c>
      <c r="BK63" t="s">
        <v>66</v>
      </c>
      <c r="BM63" t="s">
        <v>98</v>
      </c>
      <c r="BN63" t="s">
        <v>184</v>
      </c>
      <c r="BO63" t="s">
        <v>185</v>
      </c>
      <c r="BQ63" t="s">
        <v>127</v>
      </c>
      <c r="BR63" t="s">
        <v>826</v>
      </c>
    </row>
    <row r="64" spans="1:70" x14ac:dyDescent="0.25">
      <c r="A64">
        <v>62</v>
      </c>
      <c r="B64" t="s">
        <v>827</v>
      </c>
      <c r="C64" t="s">
        <v>828</v>
      </c>
      <c r="D64" t="s">
        <v>829</v>
      </c>
      <c r="E64">
        <v>199</v>
      </c>
      <c r="F64" s="1">
        <v>0.42780000000000001</v>
      </c>
      <c r="G64">
        <v>85.14</v>
      </c>
      <c r="H64">
        <v>85.14</v>
      </c>
      <c r="I64">
        <v>11982</v>
      </c>
      <c r="J64" t="s">
        <v>72</v>
      </c>
      <c r="K64">
        <v>5683</v>
      </c>
      <c r="L64" s="1">
        <v>6.6E-3</v>
      </c>
      <c r="M64">
        <v>6341</v>
      </c>
      <c r="N64" s="1">
        <v>5.5999999999999999E-3</v>
      </c>
      <c r="O64">
        <v>539872.74</v>
      </c>
      <c r="P64" s="1">
        <v>9.7999999999999997E-3</v>
      </c>
      <c r="Q64">
        <v>52046</v>
      </c>
      <c r="R64">
        <v>218369</v>
      </c>
      <c r="S64" s="1">
        <v>0.23830000000000001</v>
      </c>
      <c r="T64">
        <v>13</v>
      </c>
      <c r="U64">
        <v>3838</v>
      </c>
      <c r="W64" t="s">
        <v>830</v>
      </c>
      <c r="Y64" t="s">
        <v>189</v>
      </c>
      <c r="Z64" t="s">
        <v>74</v>
      </c>
      <c r="AA64" t="s">
        <v>831</v>
      </c>
      <c r="AB64" s="2">
        <v>41160.727488425924</v>
      </c>
      <c r="AC64" t="s">
        <v>236</v>
      </c>
      <c r="AD64" t="s">
        <v>358</v>
      </c>
      <c r="AE64">
        <v>304738</v>
      </c>
      <c r="AF64" t="s">
        <v>78</v>
      </c>
      <c r="AG64" s="1">
        <v>0.99039999999999995</v>
      </c>
      <c r="AH64" t="s">
        <v>79</v>
      </c>
      <c r="AI64" t="s">
        <v>80</v>
      </c>
      <c r="AK64" s="3">
        <v>42240</v>
      </c>
      <c r="AL64" s="4">
        <v>0.41666666666666669</v>
      </c>
      <c r="AM64" s="5">
        <v>0.6598842592592592</v>
      </c>
      <c r="AN64" t="s">
        <v>82</v>
      </c>
      <c r="AO64" t="s">
        <v>832</v>
      </c>
      <c r="AP64" t="s">
        <v>833</v>
      </c>
      <c r="AQ64" t="s">
        <v>85</v>
      </c>
      <c r="AR64" t="s">
        <v>114</v>
      </c>
      <c r="AS64" t="s">
        <v>115</v>
      </c>
      <c r="AT64" t="s">
        <v>88</v>
      </c>
      <c r="AU64" t="s">
        <v>89</v>
      </c>
      <c r="AV64" t="s">
        <v>834</v>
      </c>
      <c r="AW64" t="s">
        <v>91</v>
      </c>
      <c r="AX64" t="s">
        <v>835</v>
      </c>
      <c r="AY64" t="s">
        <v>93</v>
      </c>
      <c r="AZ64" t="s">
        <v>140</v>
      </c>
      <c r="BA64" t="s">
        <v>121</v>
      </c>
      <c r="BC64" t="s">
        <v>689</v>
      </c>
      <c r="BD64" t="s">
        <v>836</v>
      </c>
      <c r="BE64" t="s">
        <v>829</v>
      </c>
      <c r="BF64" t="s">
        <v>124</v>
      </c>
      <c r="BG64" t="s">
        <v>97</v>
      </c>
      <c r="BI64" t="s">
        <v>711</v>
      </c>
      <c r="BJ64" t="s">
        <v>831</v>
      </c>
      <c r="BK64" t="s">
        <v>49</v>
      </c>
      <c r="BM64" t="s">
        <v>171</v>
      </c>
      <c r="BP64" t="s">
        <v>126</v>
      </c>
      <c r="BQ64" t="s">
        <v>127</v>
      </c>
      <c r="BR64" t="s">
        <v>837</v>
      </c>
    </row>
    <row r="65" spans="1:70" x14ac:dyDescent="0.25">
      <c r="A65">
        <v>63</v>
      </c>
      <c r="B65" t="s">
        <v>838</v>
      </c>
      <c r="C65" t="s">
        <v>839</v>
      </c>
      <c r="E65">
        <v>316</v>
      </c>
      <c r="F65" s="1">
        <v>0.495</v>
      </c>
      <c r="G65">
        <v>156.41999999999999</v>
      </c>
      <c r="H65">
        <v>156.41999999999999</v>
      </c>
      <c r="I65">
        <v>1291</v>
      </c>
      <c r="J65" t="s">
        <v>72</v>
      </c>
      <c r="K65">
        <v>5671</v>
      </c>
      <c r="L65" s="1">
        <v>6.6E-3</v>
      </c>
      <c r="M65">
        <v>6281</v>
      </c>
      <c r="N65" s="1">
        <v>5.4999999999999997E-3</v>
      </c>
      <c r="O65">
        <v>982474.02</v>
      </c>
      <c r="P65" s="1">
        <v>1.78E-2</v>
      </c>
      <c r="Q65">
        <v>45936</v>
      </c>
      <c r="R65">
        <v>244396</v>
      </c>
      <c r="S65" s="1">
        <v>0.188</v>
      </c>
      <c r="T65">
        <v>9</v>
      </c>
      <c r="U65">
        <v>1052</v>
      </c>
      <c r="Y65" t="s">
        <v>840</v>
      </c>
      <c r="Z65" t="s">
        <v>74</v>
      </c>
      <c r="AA65" t="s">
        <v>841</v>
      </c>
      <c r="AB65" s="2">
        <v>41332.681087962963</v>
      </c>
      <c r="AC65" t="s">
        <v>224</v>
      </c>
      <c r="AD65" t="s">
        <v>323</v>
      </c>
      <c r="AE65">
        <v>100922</v>
      </c>
      <c r="AF65" t="s">
        <v>78</v>
      </c>
      <c r="AG65" s="1">
        <v>0.98070000000000002</v>
      </c>
      <c r="AH65" t="s">
        <v>79</v>
      </c>
      <c r="AI65" t="s">
        <v>80</v>
      </c>
      <c r="AK65" s="3">
        <v>42246</v>
      </c>
      <c r="AL65" s="4">
        <v>0.49951388888888887</v>
      </c>
      <c r="AM65" t="s">
        <v>842</v>
      </c>
      <c r="AN65" t="s">
        <v>194</v>
      </c>
      <c r="AO65" t="s">
        <v>843</v>
      </c>
      <c r="AP65" t="s">
        <v>844</v>
      </c>
      <c r="AQ65" t="s">
        <v>85</v>
      </c>
      <c r="AR65" t="s">
        <v>283</v>
      </c>
      <c r="AS65" t="s">
        <v>87</v>
      </c>
      <c r="AT65" t="s">
        <v>88</v>
      </c>
      <c r="AU65" t="s">
        <v>285</v>
      </c>
      <c r="AV65" t="s">
        <v>738</v>
      </c>
      <c r="AW65" t="s">
        <v>91</v>
      </c>
      <c r="AX65" t="s">
        <v>92</v>
      </c>
      <c r="AY65" t="s">
        <v>474</v>
      </c>
      <c r="AZ65" t="s">
        <v>94</v>
      </c>
      <c r="BC65" t="s">
        <v>242</v>
      </c>
      <c r="BD65" t="s">
        <v>845</v>
      </c>
      <c r="BF65" t="s">
        <v>144</v>
      </c>
      <c r="BG65" t="s">
        <v>97</v>
      </c>
      <c r="BI65" t="s">
        <v>219</v>
      </c>
      <c r="BK65" t="s">
        <v>49</v>
      </c>
      <c r="BM65" t="s">
        <v>98</v>
      </c>
      <c r="BQ65" t="s">
        <v>100</v>
      </c>
      <c r="BR65" t="s">
        <v>846</v>
      </c>
    </row>
    <row r="66" spans="1:70" x14ac:dyDescent="0.25">
      <c r="A66">
        <v>64</v>
      </c>
      <c r="B66" t="s">
        <v>847</v>
      </c>
      <c r="C66" t="s">
        <v>848</v>
      </c>
      <c r="D66">
        <v>8607</v>
      </c>
      <c r="E66">
        <v>298</v>
      </c>
      <c r="F66" s="1">
        <v>0.107</v>
      </c>
      <c r="G66">
        <v>31.9</v>
      </c>
      <c r="H66">
        <v>31.9</v>
      </c>
      <c r="I66">
        <v>28317</v>
      </c>
      <c r="J66" t="s">
        <v>72</v>
      </c>
      <c r="K66">
        <v>5612</v>
      </c>
      <c r="L66" s="1">
        <v>6.6E-3</v>
      </c>
      <c r="M66">
        <v>7214</v>
      </c>
      <c r="N66" s="1">
        <v>6.4000000000000003E-3</v>
      </c>
      <c r="O66">
        <v>230126.6</v>
      </c>
      <c r="P66" s="1">
        <v>4.1999999999999997E-3</v>
      </c>
      <c r="Q66">
        <v>94804</v>
      </c>
      <c r="R66" t="s">
        <v>154</v>
      </c>
      <c r="S66" t="s">
        <v>154</v>
      </c>
      <c r="T66">
        <v>82</v>
      </c>
      <c r="U66">
        <v>20577</v>
      </c>
      <c r="W66" t="s">
        <v>849</v>
      </c>
      <c r="Z66" t="s">
        <v>175</v>
      </c>
      <c r="AA66" t="s">
        <v>850</v>
      </c>
      <c r="AB66" s="2">
        <v>41887.707673611112</v>
      </c>
      <c r="AC66" t="s">
        <v>224</v>
      </c>
      <c r="AD66" t="s">
        <v>851</v>
      </c>
      <c r="AE66">
        <v>9395</v>
      </c>
      <c r="AF66" t="s">
        <v>159</v>
      </c>
      <c r="AG66" s="1">
        <v>1</v>
      </c>
      <c r="AH66" t="s">
        <v>79</v>
      </c>
      <c r="AI66" t="s">
        <v>80</v>
      </c>
      <c r="AK66" s="3">
        <v>42244</v>
      </c>
      <c r="AL66" s="4">
        <v>0.58831018518518519</v>
      </c>
      <c r="AM66" t="s">
        <v>852</v>
      </c>
      <c r="AN66" t="s">
        <v>111</v>
      </c>
      <c r="AO66" t="s">
        <v>853</v>
      </c>
      <c r="AP66" t="s">
        <v>854</v>
      </c>
      <c r="AQ66" t="s">
        <v>85</v>
      </c>
      <c r="AR66" t="s">
        <v>472</v>
      </c>
      <c r="AT66" t="s">
        <v>116</v>
      </c>
      <c r="AU66" t="s">
        <v>89</v>
      </c>
      <c r="AV66" t="s">
        <v>855</v>
      </c>
      <c r="AW66" t="s">
        <v>91</v>
      </c>
      <c r="AX66" t="s">
        <v>856</v>
      </c>
      <c r="AY66" t="s">
        <v>199</v>
      </c>
      <c r="AZ66" t="s">
        <v>140</v>
      </c>
      <c r="BA66" t="s">
        <v>363</v>
      </c>
      <c r="BB66" t="s">
        <v>269</v>
      </c>
      <c r="BC66" t="s">
        <v>122</v>
      </c>
      <c r="BD66" t="s">
        <v>857</v>
      </c>
      <c r="BE66">
        <v>8607</v>
      </c>
      <c r="BF66" t="s">
        <v>201</v>
      </c>
      <c r="BG66" t="s">
        <v>97</v>
      </c>
      <c r="BH66" t="s">
        <v>858</v>
      </c>
      <c r="BI66" t="s">
        <v>144</v>
      </c>
      <c r="BJ66" t="s">
        <v>859</v>
      </c>
      <c r="BK66" t="s">
        <v>49</v>
      </c>
      <c r="BM66" t="s">
        <v>171</v>
      </c>
      <c r="BN66" t="s">
        <v>125</v>
      </c>
      <c r="BP66" t="s">
        <v>149</v>
      </c>
      <c r="BQ66" t="s">
        <v>127</v>
      </c>
      <c r="BR66" t="s">
        <v>860</v>
      </c>
    </row>
    <row r="67" spans="1:70" x14ac:dyDescent="0.25">
      <c r="A67">
        <v>65</v>
      </c>
      <c r="B67" t="s">
        <v>861</v>
      </c>
      <c r="C67" t="s">
        <v>862</v>
      </c>
      <c r="E67">
        <v>203</v>
      </c>
      <c r="F67" s="1">
        <v>0.1166</v>
      </c>
      <c r="G67">
        <v>23.66</v>
      </c>
      <c r="H67">
        <v>23.66</v>
      </c>
      <c r="I67">
        <v>11132</v>
      </c>
      <c r="J67" t="s">
        <v>72</v>
      </c>
      <c r="K67">
        <v>5607</v>
      </c>
      <c r="L67" s="1">
        <v>6.4999999999999997E-3</v>
      </c>
      <c r="M67">
        <v>6731</v>
      </c>
      <c r="N67" s="1">
        <v>5.8999999999999999E-3</v>
      </c>
      <c r="O67">
        <v>159255.46</v>
      </c>
      <c r="P67" s="1">
        <v>2.8999999999999998E-3</v>
      </c>
      <c r="Q67">
        <v>25206</v>
      </c>
      <c r="R67">
        <v>21863</v>
      </c>
      <c r="S67" s="1">
        <v>1.1529</v>
      </c>
      <c r="T67">
        <v>0</v>
      </c>
      <c r="U67">
        <v>2260</v>
      </c>
      <c r="Y67" t="s">
        <v>596</v>
      </c>
      <c r="Z67" t="s">
        <v>175</v>
      </c>
      <c r="AA67" t="s">
        <v>863</v>
      </c>
      <c r="AB67" s="2">
        <v>41192.684930555559</v>
      </c>
      <c r="AC67" t="s">
        <v>76</v>
      </c>
      <c r="AD67" t="s">
        <v>779</v>
      </c>
      <c r="AE67">
        <v>3193</v>
      </c>
      <c r="AF67" t="s">
        <v>78</v>
      </c>
      <c r="AG67" s="1">
        <v>0.96550000000000002</v>
      </c>
      <c r="AH67" t="s">
        <v>79</v>
      </c>
      <c r="AI67" t="s">
        <v>80</v>
      </c>
      <c r="AK67" s="3">
        <v>42240</v>
      </c>
      <c r="AL67" s="4">
        <v>0.61172453703703711</v>
      </c>
      <c r="AM67" s="5">
        <v>0.85494212962962957</v>
      </c>
      <c r="AN67" t="s">
        <v>82</v>
      </c>
      <c r="AO67" t="s">
        <v>864</v>
      </c>
      <c r="AP67" t="s">
        <v>865</v>
      </c>
      <c r="AQ67" t="s">
        <v>144</v>
      </c>
      <c r="AT67" t="s">
        <v>144</v>
      </c>
      <c r="AU67" t="s">
        <v>144</v>
      </c>
      <c r="AV67" t="s">
        <v>227</v>
      </c>
      <c r="AW67" t="s">
        <v>216</v>
      </c>
      <c r="AX67" t="s">
        <v>866</v>
      </c>
      <c r="AY67" t="s">
        <v>144</v>
      </c>
      <c r="AZ67" t="s">
        <v>140</v>
      </c>
      <c r="BA67" t="s">
        <v>121</v>
      </c>
      <c r="BC67" t="s">
        <v>144</v>
      </c>
      <c r="BF67" t="s">
        <v>144</v>
      </c>
      <c r="BG67" t="s">
        <v>97</v>
      </c>
      <c r="BI67" t="s">
        <v>144</v>
      </c>
      <c r="BJ67" t="s">
        <v>145</v>
      </c>
      <c r="BK67" t="s">
        <v>49</v>
      </c>
      <c r="BM67" t="s">
        <v>147</v>
      </c>
      <c r="BN67" t="s">
        <v>144</v>
      </c>
      <c r="BP67" t="s">
        <v>149</v>
      </c>
      <c r="BQ67" t="s">
        <v>100</v>
      </c>
      <c r="BR67" t="s">
        <v>867</v>
      </c>
    </row>
    <row r="68" spans="1:70" x14ac:dyDescent="0.25">
      <c r="A68">
        <v>66</v>
      </c>
      <c r="B68" t="s">
        <v>868</v>
      </c>
      <c r="C68" t="s">
        <v>869</v>
      </c>
      <c r="E68">
        <v>158</v>
      </c>
      <c r="F68" s="1">
        <v>0.5</v>
      </c>
      <c r="G68">
        <v>79</v>
      </c>
      <c r="H68">
        <v>79</v>
      </c>
      <c r="I68">
        <v>7970</v>
      </c>
      <c r="J68" t="s">
        <v>72</v>
      </c>
      <c r="K68">
        <v>5516</v>
      </c>
      <c r="L68" s="1">
        <v>6.4000000000000003E-3</v>
      </c>
      <c r="M68">
        <v>6027</v>
      </c>
      <c r="N68" s="1">
        <v>5.3E-3</v>
      </c>
      <c r="O68">
        <v>476133</v>
      </c>
      <c r="P68" s="1">
        <v>8.6E-3</v>
      </c>
      <c r="Q68">
        <v>10964</v>
      </c>
      <c r="R68">
        <v>48315</v>
      </c>
      <c r="S68" s="1">
        <v>0.22689999999999999</v>
      </c>
      <c r="T68">
        <v>3</v>
      </c>
      <c r="U68">
        <v>1729</v>
      </c>
      <c r="Y68" t="s">
        <v>870</v>
      </c>
      <c r="Z68" t="s">
        <v>175</v>
      </c>
      <c r="AA68" t="s">
        <v>871</v>
      </c>
      <c r="AB68" s="2">
        <v>41304.590682870374</v>
      </c>
      <c r="AC68" t="s">
        <v>108</v>
      </c>
      <c r="AD68" t="s">
        <v>193</v>
      </c>
      <c r="AE68">
        <v>2329</v>
      </c>
      <c r="AF68" t="s">
        <v>78</v>
      </c>
      <c r="AG68" s="1">
        <v>0.98509999999999998</v>
      </c>
      <c r="AH68" t="s">
        <v>79</v>
      </c>
      <c r="AI68" t="s">
        <v>80</v>
      </c>
      <c r="AK68" s="3">
        <v>42244</v>
      </c>
      <c r="AL68" s="4">
        <v>0.66712962962962974</v>
      </c>
      <c r="AM68" t="s">
        <v>872</v>
      </c>
      <c r="AN68" t="s">
        <v>111</v>
      </c>
      <c r="AO68" t="s">
        <v>873</v>
      </c>
      <c r="AP68" t="s">
        <v>874</v>
      </c>
      <c r="AQ68" t="s">
        <v>213</v>
      </c>
      <c r="AR68" t="s">
        <v>283</v>
      </c>
      <c r="AS68" t="s">
        <v>87</v>
      </c>
      <c r="AT68" t="s">
        <v>88</v>
      </c>
      <c r="AU68" t="s">
        <v>89</v>
      </c>
      <c r="AV68" t="s">
        <v>875</v>
      </c>
      <c r="AW68" t="s">
        <v>216</v>
      </c>
      <c r="AX68" t="s">
        <v>876</v>
      </c>
      <c r="AY68" t="s">
        <v>93</v>
      </c>
      <c r="AZ68" t="s">
        <v>230</v>
      </c>
      <c r="BA68" t="s">
        <v>121</v>
      </c>
      <c r="BD68" t="s">
        <v>414</v>
      </c>
      <c r="BF68" t="s">
        <v>201</v>
      </c>
      <c r="BG68" t="s">
        <v>97</v>
      </c>
      <c r="BI68" t="s">
        <v>219</v>
      </c>
      <c r="BK68" t="s">
        <v>49</v>
      </c>
      <c r="BM68" t="s">
        <v>147</v>
      </c>
      <c r="BN68" t="s">
        <v>99</v>
      </c>
      <c r="BQ68" t="s">
        <v>100</v>
      </c>
      <c r="BR68" t="s">
        <v>877</v>
      </c>
    </row>
    <row r="69" spans="1:70" x14ac:dyDescent="0.25">
      <c r="A69">
        <v>67</v>
      </c>
      <c r="B69" t="s">
        <v>878</v>
      </c>
      <c r="C69" t="s">
        <v>595</v>
      </c>
      <c r="E69">
        <v>321</v>
      </c>
      <c r="F69" s="1">
        <v>9.35E-2</v>
      </c>
      <c r="G69">
        <v>30</v>
      </c>
      <c r="H69">
        <v>30</v>
      </c>
      <c r="I69">
        <v>195892</v>
      </c>
      <c r="J69" t="s">
        <v>72</v>
      </c>
      <c r="K69">
        <v>5476</v>
      </c>
      <c r="L69" s="1">
        <v>6.4000000000000003E-3</v>
      </c>
      <c r="M69">
        <v>6958</v>
      </c>
      <c r="N69" s="1">
        <v>6.1000000000000004E-3</v>
      </c>
      <c r="O69">
        <v>208740</v>
      </c>
      <c r="P69" s="1">
        <v>3.8E-3</v>
      </c>
      <c r="Q69">
        <v>15944</v>
      </c>
      <c r="R69">
        <v>107914</v>
      </c>
      <c r="S69" s="1">
        <v>0.1477</v>
      </c>
      <c r="T69">
        <v>9</v>
      </c>
      <c r="U69">
        <v>3809</v>
      </c>
      <c r="Y69" t="s">
        <v>425</v>
      </c>
      <c r="Z69" t="s">
        <v>175</v>
      </c>
      <c r="AA69" t="s">
        <v>879</v>
      </c>
      <c r="AB69" s="2">
        <v>39895.706932870373</v>
      </c>
      <c r="AC69" t="s">
        <v>224</v>
      </c>
      <c r="AD69" t="s">
        <v>109</v>
      </c>
      <c r="AE69">
        <v>14282</v>
      </c>
      <c r="AF69" t="s">
        <v>78</v>
      </c>
      <c r="AG69" s="1">
        <v>0.96899999999999997</v>
      </c>
      <c r="AH69" t="s">
        <v>79</v>
      </c>
      <c r="AI69" t="s">
        <v>80</v>
      </c>
      <c r="AK69" s="3">
        <v>42243</v>
      </c>
      <c r="AL69" s="4">
        <v>0.73478009259259258</v>
      </c>
      <c r="AM69" t="s">
        <v>880</v>
      </c>
      <c r="AN69" t="s">
        <v>179</v>
      </c>
      <c r="AO69" t="s">
        <v>881</v>
      </c>
      <c r="AP69" t="s">
        <v>882</v>
      </c>
      <c r="AQ69" t="s">
        <v>85</v>
      </c>
      <c r="AR69" t="s">
        <v>601</v>
      </c>
      <c r="AT69" t="s">
        <v>88</v>
      </c>
      <c r="AU69" t="s">
        <v>89</v>
      </c>
      <c r="AV69" t="s">
        <v>883</v>
      </c>
      <c r="AW69" t="s">
        <v>91</v>
      </c>
      <c r="AX69" t="s">
        <v>166</v>
      </c>
      <c r="AY69" t="s">
        <v>93</v>
      </c>
      <c r="AZ69" t="s">
        <v>94</v>
      </c>
      <c r="BA69" t="s">
        <v>121</v>
      </c>
      <c r="BC69" t="s">
        <v>313</v>
      </c>
      <c r="BD69" t="s">
        <v>604</v>
      </c>
      <c r="BF69" t="s">
        <v>168</v>
      </c>
      <c r="BG69" t="s">
        <v>97</v>
      </c>
      <c r="BI69" t="s">
        <v>219</v>
      </c>
      <c r="BK69" t="s">
        <v>49</v>
      </c>
      <c r="BM69" t="s">
        <v>98</v>
      </c>
      <c r="BN69" t="s">
        <v>99</v>
      </c>
      <c r="BP69" t="s">
        <v>126</v>
      </c>
      <c r="BQ69" t="s">
        <v>100</v>
      </c>
      <c r="BR69" t="s">
        <v>884</v>
      </c>
    </row>
    <row r="70" spans="1:70" x14ac:dyDescent="0.25">
      <c r="A70">
        <v>68</v>
      </c>
      <c r="B70" t="s">
        <v>885</v>
      </c>
      <c r="C70" t="s">
        <v>886</v>
      </c>
      <c r="D70" t="s">
        <v>887</v>
      </c>
      <c r="E70">
        <v>99</v>
      </c>
      <c r="F70" s="1">
        <v>0.18790000000000001</v>
      </c>
      <c r="G70">
        <v>18.600000000000001</v>
      </c>
      <c r="H70">
        <v>18.600000000000001</v>
      </c>
      <c r="I70">
        <v>29603</v>
      </c>
      <c r="J70" t="s">
        <v>72</v>
      </c>
      <c r="K70">
        <v>5406</v>
      </c>
      <c r="L70" s="1">
        <v>6.3E-3</v>
      </c>
      <c r="M70">
        <v>7248</v>
      </c>
      <c r="N70" s="1">
        <v>6.4000000000000003E-3</v>
      </c>
      <c r="O70">
        <v>134812.79999999999</v>
      </c>
      <c r="P70" s="1">
        <v>2.3999999999999998E-3</v>
      </c>
      <c r="Q70">
        <v>18126</v>
      </c>
      <c r="R70" t="s">
        <v>154</v>
      </c>
      <c r="S70" t="s">
        <v>154</v>
      </c>
      <c r="T70">
        <v>0</v>
      </c>
      <c r="U70">
        <v>2744</v>
      </c>
      <c r="Z70" t="s">
        <v>175</v>
      </c>
      <c r="AA70" t="s">
        <v>888</v>
      </c>
      <c r="AB70" s="2">
        <v>41933.437314814815</v>
      </c>
      <c r="AC70" t="s">
        <v>192</v>
      </c>
      <c r="AD70" t="s">
        <v>158</v>
      </c>
      <c r="AE70">
        <v>36789</v>
      </c>
      <c r="AF70" t="s">
        <v>159</v>
      </c>
      <c r="AG70" s="1">
        <v>1</v>
      </c>
      <c r="AH70" t="s">
        <v>79</v>
      </c>
      <c r="AI70" t="s">
        <v>80</v>
      </c>
      <c r="AK70" s="3">
        <v>42244</v>
      </c>
      <c r="AL70" s="4">
        <v>0.67365740740740743</v>
      </c>
      <c r="AM70" t="s">
        <v>889</v>
      </c>
      <c r="AN70" t="s">
        <v>111</v>
      </c>
      <c r="AO70" t="s">
        <v>890</v>
      </c>
      <c r="AP70" t="s">
        <v>891</v>
      </c>
      <c r="AQ70" t="s">
        <v>85</v>
      </c>
      <c r="AR70" t="s">
        <v>164</v>
      </c>
      <c r="AS70" t="s">
        <v>115</v>
      </c>
      <c r="AT70" t="s">
        <v>116</v>
      </c>
      <c r="AU70" t="s">
        <v>89</v>
      </c>
      <c r="AV70" t="s">
        <v>892</v>
      </c>
      <c r="AW70" t="s">
        <v>91</v>
      </c>
      <c r="AX70" t="s">
        <v>443</v>
      </c>
      <c r="AY70" t="s">
        <v>93</v>
      </c>
      <c r="AZ70" t="s">
        <v>120</v>
      </c>
      <c r="BA70" t="s">
        <v>141</v>
      </c>
      <c r="BB70" t="s">
        <v>269</v>
      </c>
      <c r="BC70" t="s">
        <v>122</v>
      </c>
      <c r="BE70" t="s">
        <v>887</v>
      </c>
      <c r="BF70" t="s">
        <v>168</v>
      </c>
      <c r="BG70" t="s">
        <v>97</v>
      </c>
      <c r="BH70" t="s">
        <v>893</v>
      </c>
      <c r="BI70" t="s">
        <v>219</v>
      </c>
      <c r="BJ70" t="s">
        <v>894</v>
      </c>
      <c r="BK70" t="s">
        <v>49</v>
      </c>
      <c r="BM70" t="s">
        <v>98</v>
      </c>
      <c r="BN70" t="s">
        <v>125</v>
      </c>
      <c r="BP70" t="s">
        <v>149</v>
      </c>
      <c r="BQ70" t="s">
        <v>100</v>
      </c>
      <c r="BR70" t="s">
        <v>895</v>
      </c>
    </row>
    <row r="71" spans="1:70" x14ac:dyDescent="0.25">
      <c r="A71">
        <v>69</v>
      </c>
      <c r="B71" t="s">
        <v>896</v>
      </c>
      <c r="C71" t="s">
        <v>897</v>
      </c>
      <c r="D71" t="s">
        <v>898</v>
      </c>
      <c r="E71">
        <v>184</v>
      </c>
      <c r="F71" s="1">
        <v>0.1467</v>
      </c>
      <c r="G71">
        <v>27</v>
      </c>
      <c r="H71">
        <v>27</v>
      </c>
      <c r="I71">
        <v>12920</v>
      </c>
      <c r="J71" t="s">
        <v>72</v>
      </c>
      <c r="K71">
        <v>5393</v>
      </c>
      <c r="L71" s="1">
        <v>6.3E-3</v>
      </c>
      <c r="M71">
        <v>6992</v>
      </c>
      <c r="N71" s="1">
        <v>6.1999999999999998E-3</v>
      </c>
      <c r="O71">
        <v>188784</v>
      </c>
      <c r="P71" s="1">
        <v>3.3999999999999998E-3</v>
      </c>
      <c r="Q71">
        <v>13532</v>
      </c>
      <c r="R71">
        <v>12305</v>
      </c>
      <c r="S71" s="1">
        <v>1.0996999999999999</v>
      </c>
      <c r="T71">
        <v>3</v>
      </c>
      <c r="U71">
        <v>1121</v>
      </c>
      <c r="Y71" t="s">
        <v>574</v>
      </c>
      <c r="Z71" t="s">
        <v>175</v>
      </c>
      <c r="AA71" t="s">
        <v>899</v>
      </c>
      <c r="AB71" s="2">
        <v>42078.513541666667</v>
      </c>
      <c r="AC71" t="s">
        <v>407</v>
      </c>
      <c r="AD71" t="s">
        <v>109</v>
      </c>
      <c r="AE71">
        <v>2399</v>
      </c>
      <c r="AF71" t="s">
        <v>78</v>
      </c>
      <c r="AG71" s="1">
        <v>0.92510000000000003</v>
      </c>
      <c r="AH71" t="s">
        <v>79</v>
      </c>
      <c r="AI71" t="s">
        <v>80</v>
      </c>
      <c r="AK71" s="3">
        <v>42239</v>
      </c>
      <c r="AL71" s="4">
        <v>0.90972222222222221</v>
      </c>
      <c r="AM71" s="5">
        <v>0.15293981481481481</v>
      </c>
      <c r="AN71" t="s">
        <v>194</v>
      </c>
      <c r="AO71" t="s">
        <v>900</v>
      </c>
      <c r="AP71" t="s">
        <v>901</v>
      </c>
      <c r="AQ71" t="s">
        <v>85</v>
      </c>
      <c r="AR71" t="s">
        <v>214</v>
      </c>
      <c r="AT71" t="s">
        <v>88</v>
      </c>
      <c r="AU71" t="s">
        <v>89</v>
      </c>
      <c r="AV71" t="s">
        <v>579</v>
      </c>
      <c r="AW71" t="s">
        <v>91</v>
      </c>
      <c r="AX71" t="s">
        <v>580</v>
      </c>
      <c r="AY71" t="s">
        <v>93</v>
      </c>
      <c r="AZ71" t="s">
        <v>94</v>
      </c>
      <c r="BA71" t="s">
        <v>121</v>
      </c>
      <c r="BE71" t="s">
        <v>898</v>
      </c>
      <c r="BF71" t="s">
        <v>168</v>
      </c>
      <c r="BG71" t="s">
        <v>97</v>
      </c>
      <c r="BI71" t="s">
        <v>219</v>
      </c>
      <c r="BK71" t="s">
        <v>49</v>
      </c>
      <c r="BM71" t="s">
        <v>171</v>
      </c>
      <c r="BQ71" t="s">
        <v>100</v>
      </c>
      <c r="BR71" t="s">
        <v>902</v>
      </c>
    </row>
    <row r="72" spans="1:70" x14ac:dyDescent="0.25">
      <c r="A72">
        <v>70</v>
      </c>
      <c r="B72" t="s">
        <v>903</v>
      </c>
      <c r="C72" t="s">
        <v>904</v>
      </c>
      <c r="E72">
        <v>158</v>
      </c>
      <c r="F72" s="1">
        <v>0.2273</v>
      </c>
      <c r="G72">
        <v>35.909999999999997</v>
      </c>
      <c r="H72">
        <v>35.909999999999997</v>
      </c>
      <c r="I72">
        <v>301581</v>
      </c>
      <c r="J72" t="s">
        <v>72</v>
      </c>
      <c r="K72">
        <v>5353</v>
      </c>
      <c r="L72" s="1">
        <v>6.3E-3</v>
      </c>
      <c r="M72">
        <v>8388</v>
      </c>
      <c r="N72" s="1">
        <v>7.4000000000000003E-3</v>
      </c>
      <c r="O72">
        <v>301213.08</v>
      </c>
      <c r="P72" s="1">
        <v>5.4999999999999997E-3</v>
      </c>
      <c r="Q72">
        <v>21504</v>
      </c>
      <c r="R72">
        <v>13358</v>
      </c>
      <c r="S72" s="1">
        <v>1.6097999999999999</v>
      </c>
      <c r="T72">
        <v>1</v>
      </c>
      <c r="U72">
        <v>1125</v>
      </c>
      <c r="Y72" t="s">
        <v>905</v>
      </c>
      <c r="Z72" t="s">
        <v>175</v>
      </c>
      <c r="AA72" t="s">
        <v>906</v>
      </c>
      <c r="AB72" s="2">
        <v>41229.624085648145</v>
      </c>
      <c r="AC72" t="s">
        <v>76</v>
      </c>
      <c r="AD72" t="s">
        <v>458</v>
      </c>
      <c r="AE72">
        <v>5432</v>
      </c>
      <c r="AF72" t="s">
        <v>78</v>
      </c>
      <c r="AG72" s="1">
        <v>0.9788</v>
      </c>
      <c r="AH72" t="s">
        <v>79</v>
      </c>
      <c r="AI72" t="s">
        <v>80</v>
      </c>
      <c r="AK72" s="3">
        <v>42245</v>
      </c>
      <c r="AL72" s="4">
        <v>0.97222222222222221</v>
      </c>
      <c r="AM72" t="s">
        <v>907</v>
      </c>
      <c r="AN72" t="s">
        <v>161</v>
      </c>
      <c r="AO72" t="s">
        <v>908</v>
      </c>
      <c r="AP72" t="s">
        <v>909</v>
      </c>
      <c r="AQ72" t="s">
        <v>85</v>
      </c>
      <c r="AS72" t="s">
        <v>115</v>
      </c>
      <c r="AT72" t="s">
        <v>88</v>
      </c>
      <c r="AU72" t="s">
        <v>89</v>
      </c>
      <c r="AV72" t="s">
        <v>910</v>
      </c>
      <c r="AW72" t="s">
        <v>91</v>
      </c>
      <c r="AX72" t="s">
        <v>911</v>
      </c>
      <c r="AY72" t="s">
        <v>93</v>
      </c>
      <c r="AZ72" t="s">
        <v>140</v>
      </c>
      <c r="BD72" t="s">
        <v>912</v>
      </c>
      <c r="BF72" t="s">
        <v>124</v>
      </c>
      <c r="BG72" t="s">
        <v>97</v>
      </c>
      <c r="BI72" t="s">
        <v>219</v>
      </c>
      <c r="BK72" t="s">
        <v>49</v>
      </c>
      <c r="BM72" t="s">
        <v>98</v>
      </c>
      <c r="BQ72" t="s">
        <v>100</v>
      </c>
      <c r="BR72" t="s">
        <v>913</v>
      </c>
    </row>
    <row r="73" spans="1:70" x14ac:dyDescent="0.25">
      <c r="A73">
        <v>71</v>
      </c>
      <c r="B73" t="s">
        <v>914</v>
      </c>
      <c r="C73" t="s">
        <v>915</v>
      </c>
      <c r="D73" t="s">
        <v>916</v>
      </c>
      <c r="E73">
        <v>69</v>
      </c>
      <c r="F73" s="1">
        <v>0.24490000000000001</v>
      </c>
      <c r="G73">
        <v>16.899999999999999</v>
      </c>
      <c r="H73">
        <v>16.899999999999999</v>
      </c>
      <c r="I73">
        <v>12015</v>
      </c>
      <c r="J73" t="s">
        <v>72</v>
      </c>
      <c r="K73">
        <v>5347</v>
      </c>
      <c r="L73" s="1">
        <v>6.1999999999999998E-3</v>
      </c>
      <c r="M73">
        <v>6557</v>
      </c>
      <c r="N73" s="1">
        <v>5.7999999999999996E-3</v>
      </c>
      <c r="O73">
        <v>110813.3</v>
      </c>
      <c r="P73" s="1">
        <v>2E-3</v>
      </c>
      <c r="Q73">
        <v>3850</v>
      </c>
      <c r="R73" t="s">
        <v>154</v>
      </c>
      <c r="S73" t="s">
        <v>154</v>
      </c>
      <c r="T73">
        <v>0</v>
      </c>
      <c r="U73">
        <v>3237</v>
      </c>
      <c r="Z73" t="s">
        <v>917</v>
      </c>
      <c r="AA73" t="s">
        <v>918</v>
      </c>
      <c r="AB73" s="2">
        <v>41887.663101851853</v>
      </c>
      <c r="AC73" t="s">
        <v>407</v>
      </c>
      <c r="AD73" t="s">
        <v>77</v>
      </c>
      <c r="AE73">
        <v>748</v>
      </c>
      <c r="AF73" t="s">
        <v>159</v>
      </c>
      <c r="AG73" s="1">
        <v>1</v>
      </c>
      <c r="AH73" t="s">
        <v>79</v>
      </c>
      <c r="AI73" t="s">
        <v>80</v>
      </c>
      <c r="AK73" s="3">
        <v>42239</v>
      </c>
      <c r="AL73" s="4">
        <v>0.96890046296296306</v>
      </c>
      <c r="AM73" s="5">
        <v>0.21211805555555555</v>
      </c>
      <c r="AN73" t="s">
        <v>194</v>
      </c>
      <c r="AO73" t="s">
        <v>919</v>
      </c>
      <c r="AP73" t="s">
        <v>920</v>
      </c>
      <c r="AQ73" t="s">
        <v>85</v>
      </c>
      <c r="AR73" t="s">
        <v>86</v>
      </c>
      <c r="AS73" t="s">
        <v>115</v>
      </c>
      <c r="AT73" t="s">
        <v>88</v>
      </c>
      <c r="AU73" t="s">
        <v>89</v>
      </c>
      <c r="AV73" t="s">
        <v>227</v>
      </c>
      <c r="AW73" t="s">
        <v>91</v>
      </c>
      <c r="AX73" t="s">
        <v>921</v>
      </c>
      <c r="AY73" t="s">
        <v>256</v>
      </c>
      <c r="AZ73" t="s">
        <v>140</v>
      </c>
      <c r="BB73" t="s">
        <v>269</v>
      </c>
      <c r="BD73" t="s">
        <v>922</v>
      </c>
      <c r="BE73" t="s">
        <v>916</v>
      </c>
      <c r="BF73" t="s">
        <v>96</v>
      </c>
      <c r="BG73" t="s">
        <v>97</v>
      </c>
      <c r="BH73" t="s">
        <v>923</v>
      </c>
      <c r="BI73" t="s">
        <v>219</v>
      </c>
      <c r="BJ73" t="s">
        <v>924</v>
      </c>
      <c r="BK73" t="s">
        <v>49</v>
      </c>
      <c r="BM73" t="s">
        <v>98</v>
      </c>
      <c r="BN73" t="s">
        <v>125</v>
      </c>
      <c r="BP73" t="s">
        <v>149</v>
      </c>
      <c r="BQ73" t="s">
        <v>100</v>
      </c>
      <c r="BR73" t="s">
        <v>925</v>
      </c>
    </row>
    <row r="74" spans="1:70" x14ac:dyDescent="0.25">
      <c r="A74">
        <v>72</v>
      </c>
      <c r="B74" t="s">
        <v>926</v>
      </c>
      <c r="C74" t="s">
        <v>927</v>
      </c>
      <c r="E74">
        <v>368</v>
      </c>
      <c r="F74" s="1">
        <v>0.1235</v>
      </c>
      <c r="G74">
        <v>45.44</v>
      </c>
      <c r="H74">
        <v>45.44</v>
      </c>
      <c r="I74">
        <v>16592</v>
      </c>
      <c r="J74" t="s">
        <v>72</v>
      </c>
      <c r="K74">
        <v>5307</v>
      </c>
      <c r="L74" s="1">
        <v>6.1999999999999998E-3</v>
      </c>
      <c r="M74">
        <v>7632</v>
      </c>
      <c r="N74" s="1">
        <v>6.7000000000000002E-3</v>
      </c>
      <c r="O74">
        <v>346798.08000000002</v>
      </c>
      <c r="P74" s="1">
        <v>6.3E-3</v>
      </c>
      <c r="Q74">
        <v>17666</v>
      </c>
      <c r="R74">
        <v>22597</v>
      </c>
      <c r="S74" s="1">
        <v>0.78180000000000005</v>
      </c>
      <c r="T74">
        <v>1</v>
      </c>
      <c r="U74">
        <v>2554</v>
      </c>
      <c r="Y74" t="s">
        <v>105</v>
      </c>
      <c r="Z74" t="s">
        <v>74</v>
      </c>
      <c r="AA74" t="s">
        <v>928</v>
      </c>
      <c r="AB74" s="2">
        <v>41930.950370370374</v>
      </c>
      <c r="AC74" t="s">
        <v>407</v>
      </c>
      <c r="AD74" t="s">
        <v>358</v>
      </c>
      <c r="AE74">
        <v>2013</v>
      </c>
      <c r="AF74" t="s">
        <v>78</v>
      </c>
      <c r="AG74" s="1">
        <v>0.98650000000000004</v>
      </c>
      <c r="AH74" t="s">
        <v>79</v>
      </c>
      <c r="AI74" t="s">
        <v>80</v>
      </c>
      <c r="AK74" s="3">
        <v>42241</v>
      </c>
      <c r="AL74" s="4">
        <v>0.875</v>
      </c>
      <c r="AM74" t="s">
        <v>929</v>
      </c>
      <c r="AN74" t="s">
        <v>251</v>
      </c>
      <c r="AO74" t="s">
        <v>930</v>
      </c>
      <c r="AP74" t="s">
        <v>931</v>
      </c>
      <c r="AQ74" t="s">
        <v>85</v>
      </c>
      <c r="AR74" t="s">
        <v>601</v>
      </c>
      <c r="AT74" t="s">
        <v>88</v>
      </c>
      <c r="AU74" t="s">
        <v>240</v>
      </c>
      <c r="AV74" t="s">
        <v>932</v>
      </c>
      <c r="AX74" t="s">
        <v>933</v>
      </c>
      <c r="AY74" t="s">
        <v>93</v>
      </c>
      <c r="AZ74" t="s">
        <v>140</v>
      </c>
      <c r="BA74" t="s">
        <v>121</v>
      </c>
      <c r="BC74" t="s">
        <v>144</v>
      </c>
      <c r="BF74" t="s">
        <v>201</v>
      </c>
      <c r="BG74" t="s">
        <v>97</v>
      </c>
      <c r="BI74" t="s">
        <v>144</v>
      </c>
      <c r="BJ74" t="s">
        <v>690</v>
      </c>
      <c r="BK74" t="s">
        <v>66</v>
      </c>
      <c r="BM74" t="s">
        <v>171</v>
      </c>
      <c r="BN74" t="s">
        <v>144</v>
      </c>
      <c r="BO74" t="s">
        <v>185</v>
      </c>
      <c r="BP74" t="s">
        <v>149</v>
      </c>
      <c r="BQ74" t="s">
        <v>127</v>
      </c>
      <c r="BR74" t="s">
        <v>934</v>
      </c>
    </row>
    <row r="75" spans="1:70" x14ac:dyDescent="0.25">
      <c r="A75">
        <v>73</v>
      </c>
      <c r="B75" t="s">
        <v>935</v>
      </c>
      <c r="C75" t="s">
        <v>936</v>
      </c>
      <c r="E75">
        <v>234.9</v>
      </c>
      <c r="F75" s="1">
        <v>0.126</v>
      </c>
      <c r="G75">
        <v>29.6</v>
      </c>
      <c r="H75">
        <v>29.6</v>
      </c>
      <c r="I75">
        <v>36674</v>
      </c>
      <c r="J75" t="s">
        <v>72</v>
      </c>
      <c r="K75">
        <v>5268</v>
      </c>
      <c r="L75" s="1">
        <v>6.1999999999999998E-3</v>
      </c>
      <c r="M75">
        <v>13706</v>
      </c>
      <c r="N75" s="1">
        <v>1.21E-2</v>
      </c>
      <c r="O75">
        <v>405697.6</v>
      </c>
      <c r="P75" s="1">
        <v>7.3000000000000001E-3</v>
      </c>
      <c r="Q75">
        <v>46006</v>
      </c>
      <c r="R75">
        <v>12477</v>
      </c>
      <c r="S75" s="1">
        <v>3.6873</v>
      </c>
      <c r="T75">
        <v>0</v>
      </c>
      <c r="U75">
        <v>282</v>
      </c>
      <c r="Y75" t="s">
        <v>105</v>
      </c>
      <c r="Z75" t="s">
        <v>175</v>
      </c>
      <c r="AA75" t="s">
        <v>937</v>
      </c>
      <c r="AB75" s="2">
        <v>41978.717141203706</v>
      </c>
      <c r="AC75" t="s">
        <v>76</v>
      </c>
      <c r="AD75" t="s">
        <v>307</v>
      </c>
      <c r="AE75">
        <v>4851</v>
      </c>
      <c r="AF75" t="s">
        <v>78</v>
      </c>
      <c r="AG75" s="1">
        <v>0.98560000000000003</v>
      </c>
      <c r="AH75" t="s">
        <v>79</v>
      </c>
      <c r="AI75" t="s">
        <v>80</v>
      </c>
      <c r="AK75" s="3">
        <v>42245</v>
      </c>
      <c r="AL75" s="4">
        <v>0.64583333333333337</v>
      </c>
      <c r="AM75" t="s">
        <v>938</v>
      </c>
      <c r="AN75" t="s">
        <v>161</v>
      </c>
      <c r="AO75" t="s">
        <v>939</v>
      </c>
      <c r="AP75" t="s">
        <v>940</v>
      </c>
      <c r="AQ75" t="s">
        <v>85</v>
      </c>
      <c r="AR75" t="s">
        <v>283</v>
      </c>
      <c r="AT75" t="s">
        <v>88</v>
      </c>
      <c r="AU75" t="s">
        <v>89</v>
      </c>
      <c r="AV75" t="s">
        <v>941</v>
      </c>
      <c r="AW75" t="s">
        <v>91</v>
      </c>
      <c r="AX75" t="s">
        <v>942</v>
      </c>
      <c r="AY75" t="s">
        <v>256</v>
      </c>
      <c r="AZ75" t="s">
        <v>120</v>
      </c>
      <c r="BA75" t="s">
        <v>121</v>
      </c>
      <c r="BC75" t="s">
        <v>122</v>
      </c>
      <c r="BD75" t="s">
        <v>943</v>
      </c>
      <c r="BF75" t="s">
        <v>168</v>
      </c>
      <c r="BG75" t="s">
        <v>97</v>
      </c>
      <c r="BI75" t="s">
        <v>183</v>
      </c>
      <c r="BJ75" t="s">
        <v>145</v>
      </c>
      <c r="BK75" t="s">
        <v>49</v>
      </c>
      <c r="BM75" t="s">
        <v>328</v>
      </c>
      <c r="BN75" t="s">
        <v>184</v>
      </c>
      <c r="BP75" t="s">
        <v>149</v>
      </c>
      <c r="BQ75" t="s">
        <v>100</v>
      </c>
    </row>
    <row r="76" spans="1:70" x14ac:dyDescent="0.25">
      <c r="A76">
        <v>74</v>
      </c>
      <c r="B76" t="s">
        <v>944</v>
      </c>
      <c r="C76" t="s">
        <v>945</v>
      </c>
      <c r="E76">
        <v>59.88</v>
      </c>
      <c r="F76" s="1">
        <v>0.39479999999999998</v>
      </c>
      <c r="G76">
        <v>23.64</v>
      </c>
      <c r="H76">
        <v>23.64</v>
      </c>
      <c r="I76">
        <v>39844</v>
      </c>
      <c r="J76" t="s">
        <v>72</v>
      </c>
      <c r="K76">
        <v>5237</v>
      </c>
      <c r="L76" s="1">
        <v>6.1000000000000004E-3</v>
      </c>
      <c r="M76">
        <v>5674</v>
      </c>
      <c r="N76" s="1">
        <v>5.0000000000000001E-3</v>
      </c>
      <c r="O76">
        <v>134133.35999999999</v>
      </c>
      <c r="P76" s="1">
        <v>2.3999999999999998E-3</v>
      </c>
      <c r="Q76">
        <v>18988</v>
      </c>
      <c r="R76">
        <v>52742</v>
      </c>
      <c r="S76" s="1">
        <v>0.36</v>
      </c>
      <c r="T76">
        <v>6</v>
      </c>
      <c r="U76">
        <v>2489</v>
      </c>
      <c r="Y76" t="s">
        <v>466</v>
      </c>
      <c r="Z76" t="s">
        <v>175</v>
      </c>
      <c r="AA76" t="s">
        <v>946</v>
      </c>
      <c r="AB76" s="2">
        <v>41812.687557870369</v>
      </c>
      <c r="AC76" t="s">
        <v>192</v>
      </c>
      <c r="AD76" t="s">
        <v>663</v>
      </c>
      <c r="AE76">
        <v>7102</v>
      </c>
      <c r="AF76" t="s">
        <v>78</v>
      </c>
      <c r="AG76" s="1">
        <v>0.96989999999999998</v>
      </c>
      <c r="AH76" t="s">
        <v>79</v>
      </c>
      <c r="AI76" t="s">
        <v>80</v>
      </c>
      <c r="AK76" s="3">
        <v>42241</v>
      </c>
      <c r="AL76" s="4">
        <v>0.89930555555555547</v>
      </c>
      <c r="AM76" t="s">
        <v>947</v>
      </c>
      <c r="AN76" t="s">
        <v>251</v>
      </c>
      <c r="AO76" t="s">
        <v>948</v>
      </c>
      <c r="AP76" t="s">
        <v>949</v>
      </c>
      <c r="AQ76" t="s">
        <v>441</v>
      </c>
      <c r="AR76" t="s">
        <v>601</v>
      </c>
      <c r="AT76" t="s">
        <v>88</v>
      </c>
      <c r="AU76" t="s">
        <v>89</v>
      </c>
      <c r="AV76" t="s">
        <v>227</v>
      </c>
      <c r="AX76" t="s">
        <v>166</v>
      </c>
      <c r="AY76" t="s">
        <v>93</v>
      </c>
      <c r="AZ76" t="s">
        <v>94</v>
      </c>
      <c r="BA76" t="s">
        <v>121</v>
      </c>
      <c r="BD76" t="s">
        <v>950</v>
      </c>
      <c r="BF76" t="s">
        <v>201</v>
      </c>
      <c r="BG76" t="s">
        <v>97</v>
      </c>
      <c r="BK76" t="s">
        <v>63</v>
      </c>
      <c r="BL76" t="s">
        <v>146</v>
      </c>
      <c r="BM76" t="s">
        <v>98</v>
      </c>
      <c r="BN76" t="s">
        <v>125</v>
      </c>
      <c r="BQ76" t="s">
        <v>127</v>
      </c>
      <c r="BR76" t="s">
        <v>951</v>
      </c>
    </row>
    <row r="77" spans="1:70" x14ac:dyDescent="0.25">
      <c r="A77">
        <v>75</v>
      </c>
      <c r="B77" t="s">
        <v>952</v>
      </c>
      <c r="C77" t="s">
        <v>953</v>
      </c>
      <c r="E77">
        <v>69</v>
      </c>
      <c r="F77" s="1">
        <v>0.39129999999999998</v>
      </c>
      <c r="G77">
        <v>27</v>
      </c>
      <c r="H77">
        <v>27</v>
      </c>
      <c r="I77">
        <v>78423</v>
      </c>
      <c r="J77" t="s">
        <v>72</v>
      </c>
      <c r="K77">
        <v>5168</v>
      </c>
      <c r="L77" s="1">
        <v>6.0000000000000001E-3</v>
      </c>
      <c r="M77">
        <v>5809</v>
      </c>
      <c r="N77" s="1">
        <v>5.1000000000000004E-3</v>
      </c>
      <c r="O77">
        <v>156843</v>
      </c>
      <c r="P77" s="1">
        <v>2.8E-3</v>
      </c>
      <c r="Q77">
        <v>8752</v>
      </c>
      <c r="R77">
        <v>23268</v>
      </c>
      <c r="S77" s="1">
        <v>0.37609999999999999</v>
      </c>
      <c r="T77">
        <v>36</v>
      </c>
      <c r="U77">
        <v>1226</v>
      </c>
      <c r="Y77" t="s">
        <v>105</v>
      </c>
      <c r="Z77" t="s">
        <v>74</v>
      </c>
      <c r="AA77" t="s">
        <v>954</v>
      </c>
      <c r="AB77" s="2">
        <v>41509.889513888891</v>
      </c>
      <c r="AC77" t="s">
        <v>76</v>
      </c>
      <c r="AD77" t="s">
        <v>109</v>
      </c>
      <c r="AE77">
        <v>4590</v>
      </c>
      <c r="AF77" t="s">
        <v>78</v>
      </c>
      <c r="AG77" s="1">
        <v>0.9224</v>
      </c>
      <c r="AH77" t="s">
        <v>79</v>
      </c>
      <c r="AI77" t="s">
        <v>80</v>
      </c>
      <c r="AK77" s="3">
        <v>42241</v>
      </c>
      <c r="AL77" s="4">
        <v>0.69892361111111112</v>
      </c>
      <c r="AM77" t="s">
        <v>955</v>
      </c>
      <c r="AN77" t="s">
        <v>251</v>
      </c>
      <c r="AO77" t="s">
        <v>956</v>
      </c>
      <c r="AP77" t="s">
        <v>957</v>
      </c>
      <c r="AQ77" t="s">
        <v>85</v>
      </c>
      <c r="AR77" t="s">
        <v>283</v>
      </c>
      <c r="AT77" t="s">
        <v>88</v>
      </c>
      <c r="AU77" t="s">
        <v>240</v>
      </c>
      <c r="AV77" t="s">
        <v>958</v>
      </c>
      <c r="AW77" t="s">
        <v>91</v>
      </c>
      <c r="AX77" t="s">
        <v>959</v>
      </c>
      <c r="AY77" t="s">
        <v>93</v>
      </c>
      <c r="AZ77" t="s">
        <v>94</v>
      </c>
      <c r="BA77" t="s">
        <v>121</v>
      </c>
      <c r="BC77" t="s">
        <v>242</v>
      </c>
      <c r="BD77" t="s">
        <v>960</v>
      </c>
      <c r="BF77" t="s">
        <v>168</v>
      </c>
      <c r="BG77" t="s">
        <v>97</v>
      </c>
      <c r="BI77" t="s">
        <v>219</v>
      </c>
      <c r="BK77" t="s">
        <v>49</v>
      </c>
      <c r="BM77" t="s">
        <v>171</v>
      </c>
      <c r="BN77" t="s">
        <v>144</v>
      </c>
      <c r="BP77" t="s">
        <v>126</v>
      </c>
      <c r="BQ77" t="s">
        <v>100</v>
      </c>
      <c r="BR77" t="s">
        <v>961</v>
      </c>
    </row>
    <row r="78" spans="1:70" x14ac:dyDescent="0.25">
      <c r="A78">
        <v>76</v>
      </c>
      <c r="B78" t="s">
        <v>962</v>
      </c>
      <c r="C78" t="s">
        <v>963</v>
      </c>
      <c r="E78">
        <v>399</v>
      </c>
      <c r="F78" s="1">
        <v>0.1464</v>
      </c>
      <c r="G78">
        <v>58.41</v>
      </c>
      <c r="H78">
        <v>58.41</v>
      </c>
      <c r="I78">
        <v>67124</v>
      </c>
      <c r="J78" t="s">
        <v>72</v>
      </c>
      <c r="K78">
        <v>5156</v>
      </c>
      <c r="L78" s="1">
        <v>6.0000000000000001E-3</v>
      </c>
      <c r="M78">
        <v>10355</v>
      </c>
      <c r="N78" s="1">
        <v>9.1000000000000004E-3</v>
      </c>
      <c r="O78">
        <v>604835.55000000005</v>
      </c>
      <c r="P78" s="1">
        <v>1.09E-2</v>
      </c>
      <c r="Q78">
        <v>21986</v>
      </c>
      <c r="R78">
        <v>18721</v>
      </c>
      <c r="S78" s="1">
        <v>1.1744000000000001</v>
      </c>
      <c r="T78">
        <v>0</v>
      </c>
      <c r="U78">
        <v>1090</v>
      </c>
      <c r="Y78" t="s">
        <v>105</v>
      </c>
      <c r="Z78" t="s">
        <v>964</v>
      </c>
      <c r="AA78" t="s">
        <v>965</v>
      </c>
      <c r="AB78" s="2">
        <v>41377.745706018519</v>
      </c>
      <c r="AC78" t="s">
        <v>76</v>
      </c>
      <c r="AD78" t="s">
        <v>237</v>
      </c>
      <c r="AE78">
        <v>3887</v>
      </c>
      <c r="AF78" t="s">
        <v>78</v>
      </c>
      <c r="AG78" s="1">
        <v>0.9829</v>
      </c>
      <c r="AH78" t="s">
        <v>79</v>
      </c>
      <c r="AI78" t="s">
        <v>80</v>
      </c>
      <c r="AK78" s="3">
        <v>42241</v>
      </c>
      <c r="AL78" s="4">
        <v>0.94259259259259265</v>
      </c>
      <c r="AM78" t="s">
        <v>966</v>
      </c>
      <c r="AN78" t="s">
        <v>251</v>
      </c>
      <c r="AO78" t="s">
        <v>967</v>
      </c>
      <c r="AP78" t="s">
        <v>968</v>
      </c>
      <c r="AQ78" t="s">
        <v>85</v>
      </c>
      <c r="AR78" t="s">
        <v>164</v>
      </c>
      <c r="AV78" s="6">
        <v>820823821</v>
      </c>
      <c r="AW78" t="s">
        <v>216</v>
      </c>
      <c r="AX78" t="s">
        <v>739</v>
      </c>
      <c r="AZ78" t="s">
        <v>140</v>
      </c>
      <c r="BA78" t="s">
        <v>121</v>
      </c>
      <c r="BC78" t="s">
        <v>142</v>
      </c>
      <c r="BD78" t="s">
        <v>969</v>
      </c>
      <c r="BF78" t="s">
        <v>144</v>
      </c>
      <c r="BG78" t="s">
        <v>97</v>
      </c>
      <c r="BK78" t="s">
        <v>49</v>
      </c>
      <c r="BM78" t="s">
        <v>98</v>
      </c>
      <c r="BN78" t="s">
        <v>184</v>
      </c>
      <c r="BQ78" t="s">
        <v>127</v>
      </c>
      <c r="BR78" t="s">
        <v>970</v>
      </c>
    </row>
    <row r="79" spans="1:70" x14ac:dyDescent="0.25">
      <c r="A79">
        <v>77</v>
      </c>
      <c r="B79" t="s">
        <v>971</v>
      </c>
      <c r="C79" t="s">
        <v>972</v>
      </c>
      <c r="D79">
        <v>1</v>
      </c>
      <c r="E79">
        <v>128</v>
      </c>
      <c r="F79" s="1">
        <v>0.34449999999999997</v>
      </c>
      <c r="G79">
        <v>44.1</v>
      </c>
      <c r="H79">
        <v>44.1</v>
      </c>
      <c r="I79">
        <v>17097</v>
      </c>
      <c r="J79" t="s">
        <v>72</v>
      </c>
      <c r="K79">
        <v>5113</v>
      </c>
      <c r="L79" s="1">
        <v>6.0000000000000001E-3</v>
      </c>
      <c r="M79">
        <v>5813</v>
      </c>
      <c r="N79" s="1">
        <v>5.1000000000000004E-3</v>
      </c>
      <c r="O79">
        <v>256353.3</v>
      </c>
      <c r="P79" s="1">
        <v>4.5999999999999999E-3</v>
      </c>
      <c r="Q79">
        <v>25624</v>
      </c>
      <c r="R79">
        <v>89523</v>
      </c>
      <c r="S79" s="1">
        <v>0.28620000000000001</v>
      </c>
      <c r="T79">
        <v>8</v>
      </c>
      <c r="U79">
        <v>4018</v>
      </c>
      <c r="Y79" t="s">
        <v>973</v>
      </c>
      <c r="Z79" t="s">
        <v>175</v>
      </c>
      <c r="AA79" t="s">
        <v>974</v>
      </c>
      <c r="AB79" s="2">
        <v>42065.574444444443</v>
      </c>
      <c r="AC79" t="s">
        <v>108</v>
      </c>
      <c r="AD79" t="s">
        <v>77</v>
      </c>
      <c r="AE79">
        <v>8779</v>
      </c>
      <c r="AF79" t="s">
        <v>78</v>
      </c>
      <c r="AG79" s="1">
        <v>0.9899</v>
      </c>
      <c r="AH79" t="s">
        <v>79</v>
      </c>
      <c r="AI79" t="s">
        <v>80</v>
      </c>
      <c r="AK79" s="3">
        <v>42242</v>
      </c>
      <c r="AL79" s="4">
        <v>0.90277777777777779</v>
      </c>
      <c r="AM79" t="s">
        <v>975</v>
      </c>
      <c r="AN79" t="s">
        <v>135</v>
      </c>
      <c r="AO79" t="s">
        <v>976</v>
      </c>
      <c r="AP79" t="s">
        <v>977</v>
      </c>
      <c r="AQ79" t="s">
        <v>85</v>
      </c>
      <c r="AR79" t="s">
        <v>283</v>
      </c>
      <c r="AT79" t="s">
        <v>430</v>
      </c>
      <c r="AU79" t="s">
        <v>978</v>
      </c>
      <c r="AV79" t="s">
        <v>979</v>
      </c>
      <c r="AX79" t="s">
        <v>166</v>
      </c>
      <c r="AY79" t="s">
        <v>326</v>
      </c>
      <c r="AZ79" t="s">
        <v>120</v>
      </c>
      <c r="BD79" t="s">
        <v>980</v>
      </c>
      <c r="BE79">
        <v>1</v>
      </c>
      <c r="BF79" t="s">
        <v>201</v>
      </c>
      <c r="BG79" t="s">
        <v>97</v>
      </c>
      <c r="BI79" t="s">
        <v>981</v>
      </c>
      <c r="BJ79" t="s">
        <v>982</v>
      </c>
      <c r="BK79" t="s">
        <v>63</v>
      </c>
      <c r="BL79" t="s">
        <v>983</v>
      </c>
      <c r="BM79" t="s">
        <v>147</v>
      </c>
      <c r="BN79" t="s">
        <v>184</v>
      </c>
      <c r="BP79" t="s">
        <v>149</v>
      </c>
      <c r="BQ79" t="s">
        <v>100</v>
      </c>
      <c r="BR79" t="s">
        <v>984</v>
      </c>
    </row>
    <row r="80" spans="1:70" x14ac:dyDescent="0.25">
      <c r="A80">
        <v>78</v>
      </c>
      <c r="B80" t="s">
        <v>985</v>
      </c>
      <c r="C80" t="s">
        <v>986</v>
      </c>
      <c r="D80" t="s">
        <v>987</v>
      </c>
      <c r="E80">
        <v>108</v>
      </c>
      <c r="F80" s="1">
        <v>0.2361</v>
      </c>
      <c r="G80">
        <v>25.5</v>
      </c>
      <c r="H80">
        <v>25.5</v>
      </c>
      <c r="I80">
        <v>52142</v>
      </c>
      <c r="J80" t="s">
        <v>72</v>
      </c>
      <c r="K80">
        <v>5081</v>
      </c>
      <c r="L80" s="1">
        <v>5.8999999999999999E-3</v>
      </c>
      <c r="M80">
        <v>6232</v>
      </c>
      <c r="N80" s="1">
        <v>5.4999999999999997E-3</v>
      </c>
      <c r="O80">
        <v>158916</v>
      </c>
      <c r="P80" s="1">
        <v>2.8999999999999998E-3</v>
      </c>
      <c r="Q80">
        <v>12878</v>
      </c>
      <c r="R80" t="s">
        <v>154</v>
      </c>
      <c r="S80" t="s">
        <v>154</v>
      </c>
      <c r="T80">
        <v>1</v>
      </c>
      <c r="U80">
        <v>3836</v>
      </c>
      <c r="Z80" t="s">
        <v>74</v>
      </c>
      <c r="AA80" t="s">
        <v>988</v>
      </c>
      <c r="AB80" s="2">
        <v>41768.708518518521</v>
      </c>
      <c r="AC80" t="s">
        <v>192</v>
      </c>
      <c r="AD80" t="s">
        <v>989</v>
      </c>
      <c r="AE80">
        <v>38609</v>
      </c>
      <c r="AF80" t="s">
        <v>159</v>
      </c>
      <c r="AG80" s="1">
        <v>1</v>
      </c>
      <c r="AH80" t="s">
        <v>79</v>
      </c>
      <c r="AI80" t="s">
        <v>80</v>
      </c>
      <c r="AK80" s="3">
        <v>42246</v>
      </c>
      <c r="AL80" s="4">
        <v>0.54776620370370377</v>
      </c>
      <c r="AM80" t="s">
        <v>990</v>
      </c>
      <c r="AN80" t="s">
        <v>194</v>
      </c>
      <c r="AO80" t="s">
        <v>991</v>
      </c>
      <c r="AP80" t="s">
        <v>992</v>
      </c>
      <c r="AQ80" t="s">
        <v>213</v>
      </c>
      <c r="AR80" t="s">
        <v>283</v>
      </c>
      <c r="AT80" t="s">
        <v>116</v>
      </c>
      <c r="AU80" t="s">
        <v>89</v>
      </c>
      <c r="AV80" t="s">
        <v>993</v>
      </c>
      <c r="AW80" t="s">
        <v>91</v>
      </c>
      <c r="AX80" t="s">
        <v>443</v>
      </c>
      <c r="AY80" t="s">
        <v>93</v>
      </c>
      <c r="AZ80" t="s">
        <v>120</v>
      </c>
      <c r="BA80" t="s">
        <v>141</v>
      </c>
      <c r="BB80" t="s">
        <v>269</v>
      </c>
      <c r="BC80" t="s">
        <v>144</v>
      </c>
      <c r="BD80" t="s">
        <v>514</v>
      </c>
      <c r="BE80" t="s">
        <v>987</v>
      </c>
      <c r="BF80" t="s">
        <v>352</v>
      </c>
      <c r="BG80" t="s">
        <v>97</v>
      </c>
      <c r="BH80" t="s">
        <v>515</v>
      </c>
      <c r="BI80" t="s">
        <v>144</v>
      </c>
      <c r="BJ80" t="s">
        <v>994</v>
      </c>
      <c r="BK80" t="s">
        <v>49</v>
      </c>
      <c r="BM80" t="s">
        <v>171</v>
      </c>
      <c r="BN80" t="s">
        <v>144</v>
      </c>
      <c r="BP80" t="s">
        <v>149</v>
      </c>
      <c r="BQ80" t="s">
        <v>127</v>
      </c>
      <c r="BR80" t="s">
        <v>995</v>
      </c>
    </row>
    <row r="81" spans="1:70" x14ac:dyDescent="0.25">
      <c r="A81">
        <v>79</v>
      </c>
      <c r="B81" t="s">
        <v>996</v>
      </c>
      <c r="C81" t="s">
        <v>997</v>
      </c>
      <c r="D81" t="s">
        <v>998</v>
      </c>
      <c r="E81">
        <v>68</v>
      </c>
      <c r="F81" s="1">
        <v>0.2737</v>
      </c>
      <c r="G81">
        <v>18.61</v>
      </c>
      <c r="H81">
        <v>18.61</v>
      </c>
      <c r="I81">
        <v>99700</v>
      </c>
      <c r="J81" t="s">
        <v>72</v>
      </c>
      <c r="K81">
        <v>5056</v>
      </c>
      <c r="L81" s="1">
        <v>5.8999999999999999E-3</v>
      </c>
      <c r="M81">
        <v>9514</v>
      </c>
      <c r="N81" s="1">
        <v>8.3999999999999995E-3</v>
      </c>
      <c r="O81">
        <v>177055.54</v>
      </c>
      <c r="P81" s="1">
        <v>3.2000000000000002E-3</v>
      </c>
      <c r="Q81">
        <v>30774</v>
      </c>
      <c r="R81">
        <v>1428767</v>
      </c>
      <c r="S81" s="1">
        <v>2.1499999999999998E-2</v>
      </c>
      <c r="T81">
        <v>552</v>
      </c>
      <c r="U81">
        <v>9531</v>
      </c>
      <c r="Y81" t="s">
        <v>105</v>
      </c>
      <c r="Z81" t="s">
        <v>190</v>
      </c>
      <c r="AA81" t="s">
        <v>999</v>
      </c>
      <c r="AB81" s="2">
        <v>41381.607256944444</v>
      </c>
      <c r="AC81" t="s">
        <v>192</v>
      </c>
      <c r="AD81" t="s">
        <v>358</v>
      </c>
      <c r="AE81">
        <v>4988</v>
      </c>
      <c r="AF81" t="s">
        <v>78</v>
      </c>
      <c r="AG81" s="1">
        <v>0.98380000000000001</v>
      </c>
      <c r="AH81" t="s">
        <v>79</v>
      </c>
      <c r="AI81" t="s">
        <v>80</v>
      </c>
      <c r="AK81" s="3">
        <v>42244</v>
      </c>
      <c r="AL81" s="4">
        <v>0.61163194444444446</v>
      </c>
      <c r="AM81" t="s">
        <v>1000</v>
      </c>
      <c r="AN81" t="s">
        <v>111</v>
      </c>
      <c r="AO81" t="s">
        <v>1001</v>
      </c>
      <c r="AP81" t="s">
        <v>1002</v>
      </c>
      <c r="AQ81" t="s">
        <v>85</v>
      </c>
      <c r="AR81" t="s">
        <v>601</v>
      </c>
      <c r="AT81" t="s">
        <v>116</v>
      </c>
      <c r="AV81" t="s">
        <v>1003</v>
      </c>
      <c r="AX81" t="s">
        <v>1004</v>
      </c>
      <c r="AY81" t="s">
        <v>199</v>
      </c>
      <c r="AZ81" t="s">
        <v>120</v>
      </c>
      <c r="BA81" t="s">
        <v>121</v>
      </c>
      <c r="BC81" t="s">
        <v>144</v>
      </c>
      <c r="BD81" t="s">
        <v>243</v>
      </c>
      <c r="BE81" t="s">
        <v>998</v>
      </c>
      <c r="BF81" t="s">
        <v>201</v>
      </c>
      <c r="BG81" t="s">
        <v>97</v>
      </c>
      <c r="BI81" t="s">
        <v>445</v>
      </c>
      <c r="BK81" t="s">
        <v>49</v>
      </c>
      <c r="BQ81" t="s">
        <v>100</v>
      </c>
      <c r="BR81" t="s">
        <v>1005</v>
      </c>
    </row>
    <row r="82" spans="1:70" x14ac:dyDescent="0.25">
      <c r="A82">
        <v>80</v>
      </c>
      <c r="B82" t="s">
        <v>1006</v>
      </c>
      <c r="C82" t="s">
        <v>1007</v>
      </c>
      <c r="E82">
        <v>38</v>
      </c>
      <c r="F82" s="1">
        <v>0.5</v>
      </c>
      <c r="G82">
        <v>19</v>
      </c>
      <c r="H82">
        <v>19</v>
      </c>
      <c r="I82">
        <v>125798</v>
      </c>
      <c r="J82" t="s">
        <v>72</v>
      </c>
      <c r="K82">
        <v>4995</v>
      </c>
      <c r="L82" s="1">
        <v>5.7999999999999996E-3</v>
      </c>
      <c r="M82">
        <v>7123</v>
      </c>
      <c r="N82" s="1">
        <v>6.3E-3</v>
      </c>
      <c r="O82">
        <v>135337</v>
      </c>
      <c r="P82" s="1">
        <v>2.5000000000000001E-3</v>
      </c>
      <c r="Q82">
        <v>72920</v>
      </c>
      <c r="R82">
        <v>215976</v>
      </c>
      <c r="S82" s="1">
        <v>0.33760000000000001</v>
      </c>
      <c r="T82">
        <v>21</v>
      </c>
      <c r="U82">
        <v>13823</v>
      </c>
      <c r="Y82" t="s">
        <v>672</v>
      </c>
      <c r="Z82" t="s">
        <v>1008</v>
      </c>
      <c r="AA82" t="s">
        <v>1009</v>
      </c>
      <c r="AB82" s="2">
        <v>40551.103460648148</v>
      </c>
      <c r="AC82" t="s">
        <v>192</v>
      </c>
      <c r="AD82" t="s">
        <v>193</v>
      </c>
      <c r="AE82">
        <v>16171</v>
      </c>
      <c r="AF82" t="s">
        <v>78</v>
      </c>
      <c r="AG82" s="1">
        <v>0.97529999999999994</v>
      </c>
      <c r="AH82" t="s">
        <v>79</v>
      </c>
      <c r="AI82" t="s">
        <v>80</v>
      </c>
      <c r="AK82" s="3">
        <v>42245</v>
      </c>
      <c r="AL82" s="4">
        <v>0.94070601851851843</v>
      </c>
      <c r="AM82" t="s">
        <v>1010</v>
      </c>
      <c r="AN82" t="s">
        <v>161</v>
      </c>
      <c r="AO82" t="s">
        <v>1011</v>
      </c>
      <c r="AP82" t="s">
        <v>1012</v>
      </c>
      <c r="AQ82" t="s">
        <v>85</v>
      </c>
      <c r="AR82" t="s">
        <v>283</v>
      </c>
      <c r="AT82" t="s">
        <v>88</v>
      </c>
      <c r="AU82" t="s">
        <v>89</v>
      </c>
      <c r="AV82" t="s">
        <v>1013</v>
      </c>
      <c r="AW82" t="s">
        <v>1014</v>
      </c>
      <c r="AX82" t="s">
        <v>1015</v>
      </c>
      <c r="AY82" t="s">
        <v>93</v>
      </c>
      <c r="AZ82" t="s">
        <v>230</v>
      </c>
      <c r="BA82" t="s">
        <v>141</v>
      </c>
      <c r="BC82" t="s">
        <v>313</v>
      </c>
      <c r="BF82" t="s">
        <v>201</v>
      </c>
      <c r="BG82" t="s">
        <v>97</v>
      </c>
      <c r="BI82" t="s">
        <v>144</v>
      </c>
      <c r="BK82" t="s">
        <v>49</v>
      </c>
      <c r="BM82" t="s">
        <v>147</v>
      </c>
      <c r="BN82" t="s">
        <v>364</v>
      </c>
      <c r="BP82" t="s">
        <v>149</v>
      </c>
      <c r="BQ82" t="s">
        <v>127</v>
      </c>
      <c r="BR82" t="s">
        <v>1016</v>
      </c>
    </row>
    <row r="83" spans="1:70" x14ac:dyDescent="0.25">
      <c r="A83">
        <v>81</v>
      </c>
      <c r="B83" t="s">
        <v>1017</v>
      </c>
      <c r="C83" t="s">
        <v>1018</v>
      </c>
      <c r="E83">
        <v>129</v>
      </c>
      <c r="F83" s="1">
        <v>0.18990000000000001</v>
      </c>
      <c r="G83">
        <v>24.5</v>
      </c>
      <c r="H83">
        <v>24.5</v>
      </c>
      <c r="I83">
        <v>7129</v>
      </c>
      <c r="J83" t="s">
        <v>72</v>
      </c>
      <c r="K83">
        <v>4987</v>
      </c>
      <c r="L83" s="1">
        <v>5.7999999999999996E-3</v>
      </c>
      <c r="M83">
        <v>7002</v>
      </c>
      <c r="N83" s="1">
        <v>6.1999999999999998E-3</v>
      </c>
      <c r="O83">
        <v>171549</v>
      </c>
      <c r="P83" s="1">
        <v>3.0999999999999999E-3</v>
      </c>
      <c r="Q83">
        <v>16788</v>
      </c>
      <c r="R83">
        <v>40202</v>
      </c>
      <c r="S83" s="1">
        <v>0.41760000000000003</v>
      </c>
      <c r="T83">
        <v>3</v>
      </c>
      <c r="U83">
        <v>2285</v>
      </c>
      <c r="Y83" t="s">
        <v>105</v>
      </c>
      <c r="Z83" t="s">
        <v>175</v>
      </c>
      <c r="AA83" t="s">
        <v>1019</v>
      </c>
      <c r="AB83" s="2">
        <v>41376.861990740741</v>
      </c>
      <c r="AC83" t="s">
        <v>76</v>
      </c>
      <c r="AD83" t="s">
        <v>237</v>
      </c>
      <c r="AE83">
        <v>4575</v>
      </c>
      <c r="AF83" t="s">
        <v>78</v>
      </c>
      <c r="AG83" s="1">
        <v>0.98109999999999997</v>
      </c>
      <c r="AH83" t="s">
        <v>79</v>
      </c>
      <c r="AI83" t="s">
        <v>80</v>
      </c>
      <c r="AK83" s="3">
        <v>42243</v>
      </c>
      <c r="AL83" s="4">
        <v>0.89959490740740744</v>
      </c>
      <c r="AM83" t="s">
        <v>1020</v>
      </c>
      <c r="AN83" t="s">
        <v>179</v>
      </c>
      <c r="AO83" t="s">
        <v>1021</v>
      </c>
      <c r="AP83" t="s">
        <v>1022</v>
      </c>
      <c r="AQ83" t="s">
        <v>85</v>
      </c>
      <c r="AV83" t="s">
        <v>1023</v>
      </c>
      <c r="AX83" t="s">
        <v>1024</v>
      </c>
      <c r="AY83" t="s">
        <v>326</v>
      </c>
      <c r="AZ83" t="s">
        <v>230</v>
      </c>
      <c r="BA83" t="s">
        <v>141</v>
      </c>
      <c r="BG83" t="s">
        <v>97</v>
      </c>
      <c r="BK83" t="s">
        <v>49</v>
      </c>
      <c r="BQ83" t="s">
        <v>127</v>
      </c>
      <c r="BR83" t="s">
        <v>1025</v>
      </c>
    </row>
    <row r="84" spans="1:70" x14ac:dyDescent="0.25">
      <c r="A84">
        <v>82</v>
      </c>
      <c r="B84" t="s">
        <v>1026</v>
      </c>
      <c r="C84" t="s">
        <v>1027</v>
      </c>
      <c r="E84">
        <v>118</v>
      </c>
      <c r="F84" s="1">
        <v>0.16750000000000001</v>
      </c>
      <c r="G84">
        <v>19.760000000000002</v>
      </c>
      <c r="H84">
        <v>19.760000000000002</v>
      </c>
      <c r="I84">
        <v>26080</v>
      </c>
      <c r="J84" t="s">
        <v>72</v>
      </c>
      <c r="K84">
        <v>4964</v>
      </c>
      <c r="L84" s="1">
        <v>5.7999999999999996E-3</v>
      </c>
      <c r="M84">
        <v>6224</v>
      </c>
      <c r="N84" s="1">
        <v>5.4999999999999997E-3</v>
      </c>
      <c r="O84">
        <v>122986.24000000001</v>
      </c>
      <c r="P84" s="1">
        <v>2.2000000000000001E-3</v>
      </c>
      <c r="Q84">
        <v>16836</v>
      </c>
      <c r="R84">
        <v>19941</v>
      </c>
      <c r="S84" s="1">
        <v>0.84430000000000005</v>
      </c>
      <c r="T84">
        <v>6</v>
      </c>
      <c r="U84">
        <v>2419</v>
      </c>
      <c r="Y84" t="s">
        <v>1028</v>
      </c>
      <c r="Z84" t="s">
        <v>1029</v>
      </c>
      <c r="AA84" t="s">
        <v>1030</v>
      </c>
      <c r="AB84" s="2">
        <v>42103.900254629632</v>
      </c>
      <c r="AC84" t="s">
        <v>108</v>
      </c>
      <c r="AD84" t="s">
        <v>237</v>
      </c>
      <c r="AE84">
        <v>3950</v>
      </c>
      <c r="AF84" t="s">
        <v>78</v>
      </c>
      <c r="AG84" s="1">
        <v>0.9395</v>
      </c>
      <c r="AH84" t="s">
        <v>79</v>
      </c>
      <c r="AI84" t="s">
        <v>80</v>
      </c>
      <c r="AK84" s="3">
        <v>42240</v>
      </c>
      <c r="AL84" s="4">
        <v>0.94097222222222221</v>
      </c>
      <c r="AM84" t="s">
        <v>1031</v>
      </c>
      <c r="AN84" t="s">
        <v>82</v>
      </c>
      <c r="AO84" t="s">
        <v>1032</v>
      </c>
      <c r="AP84" t="s">
        <v>1033</v>
      </c>
      <c r="AQ84" t="s">
        <v>85</v>
      </c>
      <c r="AR84" t="s">
        <v>86</v>
      </c>
      <c r="AT84" t="s">
        <v>88</v>
      </c>
      <c r="AU84" t="s">
        <v>89</v>
      </c>
      <c r="AV84" t="s">
        <v>227</v>
      </c>
      <c r="AW84" t="s">
        <v>91</v>
      </c>
      <c r="AX84" t="s">
        <v>92</v>
      </c>
      <c r="AY84" t="s">
        <v>513</v>
      </c>
      <c r="AZ84" t="s">
        <v>230</v>
      </c>
      <c r="BA84" t="s">
        <v>121</v>
      </c>
      <c r="BC84" t="s">
        <v>313</v>
      </c>
      <c r="BD84" t="s">
        <v>243</v>
      </c>
      <c r="BF84" t="s">
        <v>144</v>
      </c>
      <c r="BG84" t="s">
        <v>97</v>
      </c>
      <c r="BI84" t="s">
        <v>219</v>
      </c>
      <c r="BK84" t="s">
        <v>49</v>
      </c>
      <c r="BM84" t="s">
        <v>98</v>
      </c>
      <c r="BN84" t="s">
        <v>184</v>
      </c>
      <c r="BP84" t="s">
        <v>149</v>
      </c>
      <c r="BQ84" t="s">
        <v>127</v>
      </c>
      <c r="BR84" t="s">
        <v>1034</v>
      </c>
    </row>
    <row r="85" spans="1:70" x14ac:dyDescent="0.25">
      <c r="A85">
        <v>83</v>
      </c>
      <c r="B85" t="s">
        <v>1035</v>
      </c>
      <c r="C85" t="s">
        <v>1036</v>
      </c>
      <c r="D85">
        <v>8001</v>
      </c>
      <c r="E85">
        <v>58</v>
      </c>
      <c r="F85" s="1">
        <v>0.495</v>
      </c>
      <c r="G85">
        <v>28.71</v>
      </c>
      <c r="H85">
        <v>28.71</v>
      </c>
      <c r="I85">
        <v>8771</v>
      </c>
      <c r="J85" t="s">
        <v>72</v>
      </c>
      <c r="K85">
        <v>4949</v>
      </c>
      <c r="L85" s="1">
        <v>5.7999999999999996E-3</v>
      </c>
      <c r="M85">
        <v>6437</v>
      </c>
      <c r="N85" s="1">
        <v>5.7000000000000002E-3</v>
      </c>
      <c r="O85">
        <v>184806.27</v>
      </c>
      <c r="P85" s="1">
        <v>3.3E-3</v>
      </c>
      <c r="Q85">
        <v>21754</v>
      </c>
      <c r="R85">
        <v>60003</v>
      </c>
      <c r="S85" s="1">
        <v>0.36249999999999999</v>
      </c>
      <c r="T85">
        <v>8</v>
      </c>
      <c r="U85">
        <v>3448</v>
      </c>
      <c r="Y85" t="s">
        <v>1037</v>
      </c>
      <c r="Z85" t="s">
        <v>175</v>
      </c>
      <c r="AA85" t="s">
        <v>1038</v>
      </c>
      <c r="AB85" s="2">
        <v>41328.7265625</v>
      </c>
      <c r="AC85" t="s">
        <v>76</v>
      </c>
      <c r="AD85" t="s">
        <v>358</v>
      </c>
      <c r="AE85">
        <v>9958</v>
      </c>
      <c r="AF85" t="s">
        <v>78</v>
      </c>
      <c r="AG85" s="1">
        <v>0.9556</v>
      </c>
      <c r="AH85" t="s">
        <v>79</v>
      </c>
      <c r="AI85" t="s">
        <v>80</v>
      </c>
      <c r="AK85" s="3">
        <v>42243</v>
      </c>
      <c r="AL85" s="4">
        <v>0.94641203703703702</v>
      </c>
      <c r="AM85" t="s">
        <v>1039</v>
      </c>
      <c r="AN85" t="s">
        <v>179</v>
      </c>
      <c r="AO85" t="s">
        <v>1040</v>
      </c>
      <c r="AP85" t="s">
        <v>1041</v>
      </c>
      <c r="AQ85" t="s">
        <v>85</v>
      </c>
      <c r="AR85" t="s">
        <v>283</v>
      </c>
      <c r="AU85" t="s">
        <v>89</v>
      </c>
      <c r="AV85" t="s">
        <v>1042</v>
      </c>
      <c r="AW85" t="s">
        <v>216</v>
      </c>
      <c r="AX85" t="s">
        <v>876</v>
      </c>
      <c r="AY85" t="s">
        <v>326</v>
      </c>
      <c r="AZ85" t="s">
        <v>140</v>
      </c>
      <c r="BA85" t="s">
        <v>363</v>
      </c>
      <c r="BC85" t="s">
        <v>339</v>
      </c>
      <c r="BD85" t="s">
        <v>243</v>
      </c>
      <c r="BE85">
        <v>8001</v>
      </c>
      <c r="BF85" t="s">
        <v>201</v>
      </c>
      <c r="BG85" t="s">
        <v>97</v>
      </c>
      <c r="BI85" t="s">
        <v>144</v>
      </c>
      <c r="BJ85" t="s">
        <v>1043</v>
      </c>
      <c r="BK85" t="s">
        <v>49</v>
      </c>
      <c r="BM85" t="s">
        <v>98</v>
      </c>
      <c r="BN85" t="s">
        <v>184</v>
      </c>
      <c r="BP85" t="s">
        <v>149</v>
      </c>
      <c r="BQ85" t="s">
        <v>127</v>
      </c>
      <c r="BR85" t="s">
        <v>1044</v>
      </c>
    </row>
    <row r="86" spans="1:70" x14ac:dyDescent="0.25">
      <c r="A86">
        <v>84</v>
      </c>
      <c r="B86" t="s">
        <v>1045</v>
      </c>
      <c r="C86" t="s">
        <v>1046</v>
      </c>
      <c r="E86">
        <v>72</v>
      </c>
      <c r="F86" s="1">
        <v>0.5</v>
      </c>
      <c r="G86">
        <v>36</v>
      </c>
      <c r="H86">
        <v>36</v>
      </c>
      <c r="I86">
        <v>66722</v>
      </c>
      <c r="J86" t="s">
        <v>72</v>
      </c>
      <c r="K86">
        <v>4908</v>
      </c>
      <c r="L86" s="1">
        <v>5.7000000000000002E-3</v>
      </c>
      <c r="M86">
        <v>6437</v>
      </c>
      <c r="N86" s="1">
        <v>5.7000000000000002E-3</v>
      </c>
      <c r="O86">
        <v>231732</v>
      </c>
      <c r="P86" s="1">
        <v>4.1999999999999997E-3</v>
      </c>
      <c r="Q86">
        <v>46600</v>
      </c>
      <c r="R86">
        <v>532697</v>
      </c>
      <c r="S86" s="1">
        <v>8.7499999999999994E-2</v>
      </c>
      <c r="T86">
        <v>27</v>
      </c>
      <c r="U86">
        <v>6488</v>
      </c>
      <c r="W86" t="s">
        <v>1047</v>
      </c>
      <c r="Y86" t="s">
        <v>105</v>
      </c>
      <c r="Z86" t="s">
        <v>74</v>
      </c>
      <c r="AA86" t="s">
        <v>1048</v>
      </c>
      <c r="AB86" s="2">
        <v>41717.014618055553</v>
      </c>
      <c r="AC86" t="s">
        <v>224</v>
      </c>
      <c r="AD86" t="s">
        <v>1049</v>
      </c>
      <c r="AE86">
        <v>11208</v>
      </c>
      <c r="AF86" t="s">
        <v>78</v>
      </c>
      <c r="AG86" s="1">
        <v>0.97929999999999995</v>
      </c>
      <c r="AH86" t="s">
        <v>79</v>
      </c>
      <c r="AI86" t="s">
        <v>80</v>
      </c>
      <c r="AK86" s="3">
        <v>42239</v>
      </c>
      <c r="AL86" s="4">
        <v>0.875</v>
      </c>
      <c r="AM86" s="5">
        <v>0.11821759259259258</v>
      </c>
      <c r="AN86" t="s">
        <v>194</v>
      </c>
      <c r="AO86" t="s">
        <v>1050</v>
      </c>
      <c r="AP86" t="s">
        <v>1051</v>
      </c>
      <c r="AQ86" t="s">
        <v>85</v>
      </c>
      <c r="AR86" t="s">
        <v>86</v>
      </c>
      <c r="AS86" t="s">
        <v>115</v>
      </c>
      <c r="AT86" t="s">
        <v>88</v>
      </c>
      <c r="AU86" t="s">
        <v>89</v>
      </c>
      <c r="AV86" t="s">
        <v>1052</v>
      </c>
      <c r="AX86" t="s">
        <v>1053</v>
      </c>
      <c r="AY86" t="s">
        <v>256</v>
      </c>
      <c r="AZ86" t="s">
        <v>120</v>
      </c>
      <c r="BD86" t="s">
        <v>1054</v>
      </c>
      <c r="BF86" t="s">
        <v>168</v>
      </c>
      <c r="BG86" t="s">
        <v>97</v>
      </c>
      <c r="BI86" t="s">
        <v>219</v>
      </c>
      <c r="BK86" t="s">
        <v>63</v>
      </c>
      <c r="BL86" t="s">
        <v>983</v>
      </c>
      <c r="BM86" t="s">
        <v>98</v>
      </c>
      <c r="BN86" t="s">
        <v>99</v>
      </c>
      <c r="BP86" t="s">
        <v>149</v>
      </c>
      <c r="BQ86" t="s">
        <v>100</v>
      </c>
      <c r="BR86" t="s">
        <v>1055</v>
      </c>
    </row>
    <row r="87" spans="1:70" x14ac:dyDescent="0.25">
      <c r="A87">
        <v>85</v>
      </c>
      <c r="B87" t="s">
        <v>1056</v>
      </c>
      <c r="C87" t="s">
        <v>1057</v>
      </c>
      <c r="D87" t="s">
        <v>1058</v>
      </c>
      <c r="E87">
        <v>128</v>
      </c>
      <c r="F87" s="1">
        <v>0.1547</v>
      </c>
      <c r="G87">
        <v>19.8</v>
      </c>
      <c r="H87">
        <v>19.8</v>
      </c>
      <c r="I87">
        <v>387139</v>
      </c>
      <c r="J87" t="s">
        <v>72</v>
      </c>
      <c r="K87">
        <v>4908</v>
      </c>
      <c r="L87" s="1">
        <v>5.7000000000000002E-3</v>
      </c>
      <c r="M87">
        <v>6891</v>
      </c>
      <c r="N87" s="1">
        <v>6.1000000000000004E-3</v>
      </c>
      <c r="O87">
        <v>136441.79999999999</v>
      </c>
      <c r="P87" s="1">
        <v>2.5000000000000001E-3</v>
      </c>
      <c r="Q87">
        <v>59732</v>
      </c>
      <c r="R87" t="s">
        <v>154</v>
      </c>
      <c r="S87" t="s">
        <v>154</v>
      </c>
      <c r="T87">
        <v>2205</v>
      </c>
      <c r="U87">
        <v>38147</v>
      </c>
      <c r="Z87" t="s">
        <v>155</v>
      </c>
      <c r="AA87" t="s">
        <v>156</v>
      </c>
      <c r="AB87" s="2">
        <v>41723.450532407405</v>
      </c>
      <c r="AC87" t="s">
        <v>157</v>
      </c>
      <c r="AD87" t="s">
        <v>158</v>
      </c>
      <c r="AE87">
        <v>308260</v>
      </c>
      <c r="AF87" t="s">
        <v>159</v>
      </c>
      <c r="AG87" s="1">
        <v>1</v>
      </c>
      <c r="AH87" t="s">
        <v>79</v>
      </c>
      <c r="AI87" t="s">
        <v>80</v>
      </c>
      <c r="AK87" s="3">
        <v>42245</v>
      </c>
      <c r="AL87" s="4">
        <v>0.47240740740740739</v>
      </c>
      <c r="AM87" t="s">
        <v>1059</v>
      </c>
      <c r="AN87" t="s">
        <v>161</v>
      </c>
      <c r="AO87" t="s">
        <v>1060</v>
      </c>
      <c r="AP87" t="s">
        <v>1061</v>
      </c>
      <c r="AQ87" t="s">
        <v>85</v>
      </c>
      <c r="AR87" t="s">
        <v>164</v>
      </c>
      <c r="AT87" t="s">
        <v>88</v>
      </c>
      <c r="AU87" t="s">
        <v>89</v>
      </c>
      <c r="AV87" t="s">
        <v>1062</v>
      </c>
      <c r="AW87" t="s">
        <v>91</v>
      </c>
      <c r="AX87" t="s">
        <v>166</v>
      </c>
      <c r="AY87" t="s">
        <v>144</v>
      </c>
      <c r="AZ87" t="s">
        <v>120</v>
      </c>
      <c r="BA87" t="s">
        <v>121</v>
      </c>
      <c r="BC87" t="s">
        <v>144</v>
      </c>
      <c r="BE87" t="s">
        <v>1058</v>
      </c>
      <c r="BF87" t="s">
        <v>168</v>
      </c>
      <c r="BG87" t="s">
        <v>97</v>
      </c>
      <c r="BH87" t="s">
        <v>169</v>
      </c>
      <c r="BI87" t="s">
        <v>219</v>
      </c>
      <c r="BJ87" t="s">
        <v>170</v>
      </c>
      <c r="BK87" t="s">
        <v>49</v>
      </c>
      <c r="BM87" t="s">
        <v>171</v>
      </c>
      <c r="BN87" t="s">
        <v>125</v>
      </c>
      <c r="BP87" t="s">
        <v>126</v>
      </c>
      <c r="BQ87" t="s">
        <v>100</v>
      </c>
      <c r="BR87" t="s">
        <v>1063</v>
      </c>
    </row>
    <row r="88" spans="1:70" x14ac:dyDescent="0.25">
      <c r="A88">
        <v>86</v>
      </c>
      <c r="B88" t="s">
        <v>1064</v>
      </c>
      <c r="C88" t="s">
        <v>1065</v>
      </c>
      <c r="E88">
        <v>121</v>
      </c>
      <c r="F88" s="1">
        <v>0.19009999999999999</v>
      </c>
      <c r="G88">
        <v>23</v>
      </c>
      <c r="H88">
        <v>23</v>
      </c>
      <c r="I88">
        <v>33156</v>
      </c>
      <c r="J88" t="s">
        <v>72</v>
      </c>
      <c r="K88">
        <v>4900</v>
      </c>
      <c r="L88" s="1">
        <v>5.7000000000000002E-3</v>
      </c>
      <c r="M88">
        <v>6434</v>
      </c>
      <c r="N88" s="1">
        <v>5.7000000000000002E-3</v>
      </c>
      <c r="O88">
        <v>147982</v>
      </c>
      <c r="P88" s="1">
        <v>2.7000000000000001E-3</v>
      </c>
      <c r="Q88">
        <v>28646</v>
      </c>
      <c r="R88">
        <v>39909</v>
      </c>
      <c r="S88" s="1">
        <v>0.71779999999999999</v>
      </c>
      <c r="T88">
        <v>3</v>
      </c>
      <c r="U88">
        <v>1195</v>
      </c>
      <c r="Y88" t="s">
        <v>466</v>
      </c>
      <c r="Z88" t="s">
        <v>175</v>
      </c>
      <c r="AA88" t="s">
        <v>1066</v>
      </c>
      <c r="AB88" s="2">
        <v>42147.883171296293</v>
      </c>
      <c r="AC88" t="s">
        <v>640</v>
      </c>
      <c r="AD88" t="s">
        <v>458</v>
      </c>
      <c r="AE88">
        <v>1988</v>
      </c>
      <c r="AF88" t="s">
        <v>78</v>
      </c>
      <c r="AG88" s="1">
        <v>0.96719999999999995</v>
      </c>
      <c r="AH88" t="s">
        <v>79</v>
      </c>
      <c r="AI88" t="s">
        <v>80</v>
      </c>
      <c r="AK88" s="3">
        <v>42245</v>
      </c>
      <c r="AL88" s="4">
        <v>0.92672453703703705</v>
      </c>
      <c r="AM88" t="s">
        <v>1067</v>
      </c>
      <c r="AN88" t="s">
        <v>161</v>
      </c>
      <c r="AO88" t="s">
        <v>1068</v>
      </c>
      <c r="AP88" t="s">
        <v>1069</v>
      </c>
      <c r="AQ88" t="s">
        <v>85</v>
      </c>
      <c r="AR88" t="s">
        <v>86</v>
      </c>
      <c r="AT88" t="s">
        <v>88</v>
      </c>
      <c r="AU88" t="s">
        <v>89</v>
      </c>
      <c r="AV88" t="s">
        <v>1070</v>
      </c>
      <c r="AX88" t="s">
        <v>92</v>
      </c>
      <c r="AY88" t="s">
        <v>93</v>
      </c>
      <c r="AZ88" t="s">
        <v>140</v>
      </c>
      <c r="BA88" t="s">
        <v>121</v>
      </c>
      <c r="BC88" t="s">
        <v>144</v>
      </c>
      <c r="BD88" t="s">
        <v>1071</v>
      </c>
      <c r="BF88" t="s">
        <v>124</v>
      </c>
      <c r="BG88" t="s">
        <v>97</v>
      </c>
      <c r="BK88" t="s">
        <v>63</v>
      </c>
      <c r="BL88" t="s">
        <v>245</v>
      </c>
      <c r="BM88" t="s">
        <v>171</v>
      </c>
      <c r="BN88" t="s">
        <v>144</v>
      </c>
      <c r="BQ88" t="s">
        <v>127</v>
      </c>
      <c r="BR88" t="s">
        <v>1072</v>
      </c>
    </row>
    <row r="89" spans="1:70" x14ac:dyDescent="0.25">
      <c r="A89">
        <v>87</v>
      </c>
      <c r="B89" t="s">
        <v>1073</v>
      </c>
      <c r="C89" t="s">
        <v>1074</v>
      </c>
      <c r="D89" t="s">
        <v>1075</v>
      </c>
      <c r="E89">
        <v>369</v>
      </c>
      <c r="F89" s="1">
        <v>0.187</v>
      </c>
      <c r="G89">
        <v>69</v>
      </c>
      <c r="H89">
        <v>69</v>
      </c>
      <c r="I89">
        <v>42052</v>
      </c>
      <c r="J89" t="s">
        <v>72</v>
      </c>
      <c r="K89">
        <v>4878</v>
      </c>
      <c r="L89" s="1">
        <v>5.7000000000000002E-3</v>
      </c>
      <c r="M89">
        <v>7059</v>
      </c>
      <c r="N89" s="1">
        <v>6.1999999999999998E-3</v>
      </c>
      <c r="O89">
        <v>487071</v>
      </c>
      <c r="P89" s="1">
        <v>8.8000000000000005E-3</v>
      </c>
      <c r="Q89">
        <v>37910</v>
      </c>
      <c r="R89">
        <v>44020</v>
      </c>
      <c r="S89" s="1">
        <v>0.86119999999999997</v>
      </c>
      <c r="T89">
        <v>3</v>
      </c>
      <c r="U89">
        <v>751</v>
      </c>
      <c r="Y89" t="s">
        <v>105</v>
      </c>
      <c r="Z89" t="s">
        <v>175</v>
      </c>
      <c r="AA89" t="s">
        <v>1076</v>
      </c>
      <c r="AB89" s="2">
        <v>41414.641342592593</v>
      </c>
      <c r="AC89" t="s">
        <v>108</v>
      </c>
      <c r="AD89" t="s">
        <v>237</v>
      </c>
      <c r="AE89">
        <v>10944</v>
      </c>
      <c r="AF89" t="s">
        <v>78</v>
      </c>
      <c r="AG89" s="1">
        <v>0.99</v>
      </c>
      <c r="AH89" t="s">
        <v>79</v>
      </c>
      <c r="AI89" t="s">
        <v>80</v>
      </c>
      <c r="AK89" s="3">
        <v>42242</v>
      </c>
      <c r="AL89" s="4">
        <v>0.84865740740740747</v>
      </c>
      <c r="AM89" t="s">
        <v>1077</v>
      </c>
      <c r="AN89" t="s">
        <v>135</v>
      </c>
      <c r="AO89" t="s">
        <v>1078</v>
      </c>
      <c r="AP89" t="s">
        <v>1079</v>
      </c>
      <c r="AQ89" t="s">
        <v>213</v>
      </c>
      <c r="AS89" t="s">
        <v>115</v>
      </c>
      <c r="AT89" t="s">
        <v>88</v>
      </c>
      <c r="AU89" t="s">
        <v>89</v>
      </c>
      <c r="AV89" t="s">
        <v>1080</v>
      </c>
      <c r="AW89" t="s">
        <v>91</v>
      </c>
      <c r="AX89" t="s">
        <v>92</v>
      </c>
      <c r="AY89" t="s">
        <v>93</v>
      </c>
      <c r="AZ89" t="s">
        <v>120</v>
      </c>
      <c r="BA89" t="s">
        <v>121</v>
      </c>
      <c r="BC89" t="s">
        <v>242</v>
      </c>
      <c r="BD89" t="s">
        <v>1081</v>
      </c>
      <c r="BE89" t="s">
        <v>1075</v>
      </c>
      <c r="BF89" t="s">
        <v>96</v>
      </c>
      <c r="BG89" t="s">
        <v>97</v>
      </c>
      <c r="BI89" t="s">
        <v>219</v>
      </c>
      <c r="BJ89" t="s">
        <v>1076</v>
      </c>
      <c r="BK89" t="s">
        <v>49</v>
      </c>
      <c r="BM89" t="s">
        <v>171</v>
      </c>
      <c r="BQ89" t="s">
        <v>329</v>
      </c>
    </row>
    <row r="90" spans="1:70" x14ac:dyDescent="0.25">
      <c r="A90">
        <v>88</v>
      </c>
      <c r="B90" t="s">
        <v>1082</v>
      </c>
      <c r="C90" t="s">
        <v>1083</v>
      </c>
      <c r="E90">
        <v>88</v>
      </c>
      <c r="F90" s="1">
        <v>0.46589999999999998</v>
      </c>
      <c r="G90">
        <v>41</v>
      </c>
      <c r="H90">
        <v>41</v>
      </c>
      <c r="I90">
        <v>32340</v>
      </c>
      <c r="J90" t="s">
        <v>72</v>
      </c>
      <c r="K90">
        <v>4872</v>
      </c>
      <c r="L90" s="1">
        <v>5.7000000000000002E-3</v>
      </c>
      <c r="M90">
        <v>6927</v>
      </c>
      <c r="N90" s="1">
        <v>6.1000000000000004E-3</v>
      </c>
      <c r="O90">
        <v>284007</v>
      </c>
      <c r="P90" s="1">
        <v>5.1000000000000004E-3</v>
      </c>
      <c r="Q90">
        <v>13404</v>
      </c>
      <c r="R90">
        <v>88323</v>
      </c>
      <c r="S90" s="1">
        <v>0.15179999999999999</v>
      </c>
      <c r="T90">
        <v>9</v>
      </c>
      <c r="U90">
        <v>753</v>
      </c>
      <c r="Y90" t="s">
        <v>1084</v>
      </c>
      <c r="Z90" t="s">
        <v>175</v>
      </c>
      <c r="AA90" t="s">
        <v>1085</v>
      </c>
      <c r="AB90" s="2">
        <v>41420.883564814816</v>
      </c>
      <c r="AC90" t="s">
        <v>76</v>
      </c>
      <c r="AD90" t="s">
        <v>193</v>
      </c>
      <c r="AE90">
        <v>4809</v>
      </c>
      <c r="AF90" t="s">
        <v>78</v>
      </c>
      <c r="AG90" s="1">
        <v>0.98929999999999996</v>
      </c>
      <c r="AH90" t="s">
        <v>79</v>
      </c>
      <c r="AI90" t="s">
        <v>80</v>
      </c>
      <c r="AK90" s="3">
        <v>42241</v>
      </c>
      <c r="AL90" s="4">
        <v>0.87847222222222221</v>
      </c>
      <c r="AM90" t="s">
        <v>1086</v>
      </c>
      <c r="AN90" t="s">
        <v>251</v>
      </c>
      <c r="AO90" t="s">
        <v>1087</v>
      </c>
      <c r="AP90" t="s">
        <v>1088</v>
      </c>
      <c r="AQ90" t="s">
        <v>213</v>
      </c>
      <c r="AR90" t="s">
        <v>86</v>
      </c>
      <c r="AS90" t="s">
        <v>87</v>
      </c>
      <c r="AT90" t="s">
        <v>88</v>
      </c>
      <c r="AU90" t="s">
        <v>240</v>
      </c>
      <c r="AV90" t="s">
        <v>1089</v>
      </c>
      <c r="AW90" t="s">
        <v>91</v>
      </c>
      <c r="AX90" t="s">
        <v>92</v>
      </c>
      <c r="AY90" t="s">
        <v>93</v>
      </c>
      <c r="AZ90" t="s">
        <v>140</v>
      </c>
      <c r="BC90" t="s">
        <v>242</v>
      </c>
      <c r="BD90" t="s">
        <v>1090</v>
      </c>
      <c r="BF90" t="s">
        <v>96</v>
      </c>
      <c r="BG90" t="s">
        <v>97</v>
      </c>
      <c r="BI90" t="s">
        <v>219</v>
      </c>
      <c r="BK90" t="s">
        <v>49</v>
      </c>
      <c r="BM90" t="s">
        <v>171</v>
      </c>
      <c r="BN90" t="s">
        <v>125</v>
      </c>
      <c r="BQ90" t="s">
        <v>100</v>
      </c>
      <c r="BR90" t="s">
        <v>1091</v>
      </c>
    </row>
    <row r="91" spans="1:70" x14ac:dyDescent="0.25">
      <c r="A91">
        <v>89</v>
      </c>
      <c r="B91" t="s">
        <v>1092</v>
      </c>
      <c r="C91" t="s">
        <v>1093</v>
      </c>
      <c r="D91" t="s">
        <v>1094</v>
      </c>
      <c r="E91">
        <v>196</v>
      </c>
      <c r="F91" s="1">
        <v>0.5</v>
      </c>
      <c r="G91">
        <v>98</v>
      </c>
      <c r="H91">
        <v>98</v>
      </c>
      <c r="I91">
        <v>35638</v>
      </c>
      <c r="J91">
        <v>5</v>
      </c>
      <c r="K91">
        <v>4850</v>
      </c>
      <c r="L91" s="1">
        <v>5.7000000000000002E-3</v>
      </c>
      <c r="M91">
        <v>6063</v>
      </c>
      <c r="N91" s="1">
        <v>5.3E-3</v>
      </c>
      <c r="O91">
        <v>594174</v>
      </c>
      <c r="P91" s="1">
        <v>1.0800000000000001E-2</v>
      </c>
      <c r="Q91">
        <v>61312</v>
      </c>
      <c r="R91">
        <v>107428</v>
      </c>
      <c r="S91" s="1">
        <v>0.57069999999999999</v>
      </c>
      <c r="T91">
        <v>112</v>
      </c>
      <c r="U91">
        <v>2437</v>
      </c>
      <c r="W91" t="s">
        <v>1095</v>
      </c>
      <c r="Y91" t="s">
        <v>1096</v>
      </c>
      <c r="Z91" t="s">
        <v>74</v>
      </c>
      <c r="AA91" t="s">
        <v>1097</v>
      </c>
      <c r="AB91" s="2">
        <v>40539.464074074072</v>
      </c>
      <c r="AC91" t="s">
        <v>468</v>
      </c>
      <c r="AD91" t="s">
        <v>383</v>
      </c>
      <c r="AE91">
        <v>5888612</v>
      </c>
      <c r="AF91" t="s">
        <v>78</v>
      </c>
      <c r="AG91" s="1">
        <v>0.99129999999999996</v>
      </c>
      <c r="AH91" t="s">
        <v>79</v>
      </c>
      <c r="AI91" t="s">
        <v>80</v>
      </c>
      <c r="AK91" s="3">
        <v>42240</v>
      </c>
      <c r="AL91" s="4">
        <v>0.9229398148148148</v>
      </c>
      <c r="AM91" t="s">
        <v>1098</v>
      </c>
      <c r="AN91" t="s">
        <v>82</v>
      </c>
      <c r="AO91" t="s">
        <v>1099</v>
      </c>
      <c r="AP91" t="s">
        <v>1100</v>
      </c>
      <c r="AQ91" t="s">
        <v>85</v>
      </c>
      <c r="AR91" t="s">
        <v>283</v>
      </c>
      <c r="AS91" t="s">
        <v>87</v>
      </c>
      <c r="AV91" t="s">
        <v>1101</v>
      </c>
      <c r="AX91" t="s">
        <v>739</v>
      </c>
      <c r="AY91" t="s">
        <v>93</v>
      </c>
      <c r="AZ91" t="s">
        <v>94</v>
      </c>
      <c r="BA91" t="s">
        <v>141</v>
      </c>
      <c r="BC91" t="s">
        <v>144</v>
      </c>
      <c r="BD91" t="s">
        <v>1102</v>
      </c>
      <c r="BE91" t="s">
        <v>1094</v>
      </c>
      <c r="BF91" t="s">
        <v>96</v>
      </c>
      <c r="BG91" t="s">
        <v>97</v>
      </c>
      <c r="BJ91" t="s">
        <v>1103</v>
      </c>
      <c r="BK91" t="s">
        <v>66</v>
      </c>
      <c r="BO91" t="s">
        <v>185</v>
      </c>
      <c r="BQ91" t="s">
        <v>127</v>
      </c>
      <c r="BR91" t="s">
        <v>1104</v>
      </c>
    </row>
    <row r="92" spans="1:70" x14ac:dyDescent="0.25">
      <c r="A92">
        <v>90</v>
      </c>
      <c r="B92" t="s">
        <v>1105</v>
      </c>
      <c r="C92" t="s">
        <v>1106</v>
      </c>
      <c r="E92">
        <v>110</v>
      </c>
      <c r="F92" s="1">
        <v>0.8</v>
      </c>
      <c r="G92">
        <v>88</v>
      </c>
      <c r="H92">
        <v>88</v>
      </c>
      <c r="I92">
        <v>1609</v>
      </c>
      <c r="J92" t="s">
        <v>72</v>
      </c>
      <c r="K92">
        <v>4772</v>
      </c>
      <c r="L92" s="1">
        <v>5.5999999999999999E-3</v>
      </c>
      <c r="M92">
        <v>4984</v>
      </c>
      <c r="N92" s="1">
        <v>4.4000000000000003E-3</v>
      </c>
      <c r="O92">
        <v>438592</v>
      </c>
      <c r="P92" s="1">
        <v>7.9000000000000008E-3</v>
      </c>
      <c r="Q92">
        <v>62594</v>
      </c>
      <c r="R92">
        <v>78023</v>
      </c>
      <c r="S92" s="1">
        <v>0.80230000000000001</v>
      </c>
      <c r="T92">
        <v>0</v>
      </c>
      <c r="U92">
        <v>1316</v>
      </c>
      <c r="W92" t="s">
        <v>319</v>
      </c>
      <c r="Y92" t="s">
        <v>320</v>
      </c>
      <c r="Z92" t="s">
        <v>74</v>
      </c>
      <c r="AA92" t="s">
        <v>321</v>
      </c>
      <c r="AB92" s="2">
        <v>39643.92465277778</v>
      </c>
      <c r="AC92" t="s">
        <v>322</v>
      </c>
      <c r="AD92" t="s">
        <v>323</v>
      </c>
      <c r="AE92">
        <v>1458842</v>
      </c>
      <c r="AF92" t="s">
        <v>78</v>
      </c>
      <c r="AG92" s="1">
        <v>0.98819999999999997</v>
      </c>
      <c r="AH92" t="s">
        <v>79</v>
      </c>
      <c r="AI92" t="s">
        <v>80</v>
      </c>
      <c r="AK92" s="3">
        <v>42239</v>
      </c>
      <c r="AL92" s="4">
        <v>0.90789351851851852</v>
      </c>
      <c r="AM92" s="5">
        <v>0.15111111111111111</v>
      </c>
      <c r="AN92" t="s">
        <v>194</v>
      </c>
      <c r="AO92" t="s">
        <v>1107</v>
      </c>
      <c r="AP92" t="s">
        <v>1108</v>
      </c>
      <c r="AQ92" t="s">
        <v>85</v>
      </c>
      <c r="AR92" t="s">
        <v>114</v>
      </c>
      <c r="AT92" t="s">
        <v>88</v>
      </c>
      <c r="AU92" t="s">
        <v>89</v>
      </c>
      <c r="AV92" t="s">
        <v>227</v>
      </c>
      <c r="AW92" t="s">
        <v>91</v>
      </c>
      <c r="AX92" t="s">
        <v>1109</v>
      </c>
      <c r="AY92" t="s">
        <v>740</v>
      </c>
      <c r="AZ92" t="s">
        <v>140</v>
      </c>
      <c r="BA92" t="s">
        <v>121</v>
      </c>
      <c r="BC92" t="s">
        <v>217</v>
      </c>
      <c r="BD92" t="s">
        <v>1110</v>
      </c>
      <c r="BF92" t="s">
        <v>124</v>
      </c>
      <c r="BG92" t="s">
        <v>97</v>
      </c>
      <c r="BI92" t="s">
        <v>219</v>
      </c>
      <c r="BK92" t="s">
        <v>49</v>
      </c>
      <c r="BM92" t="s">
        <v>171</v>
      </c>
      <c r="BP92" t="s">
        <v>126</v>
      </c>
      <c r="BQ92" t="s">
        <v>100</v>
      </c>
      <c r="BR92" t="s">
        <v>1111</v>
      </c>
    </row>
    <row r="93" spans="1:70" x14ac:dyDescent="0.25">
      <c r="A93">
        <v>91</v>
      </c>
      <c r="B93" t="s">
        <v>1112</v>
      </c>
      <c r="C93" t="s">
        <v>1113</v>
      </c>
      <c r="D93">
        <v>335</v>
      </c>
      <c r="E93">
        <v>388</v>
      </c>
      <c r="F93" s="1">
        <v>0.33250000000000002</v>
      </c>
      <c r="G93">
        <v>129</v>
      </c>
      <c r="H93">
        <v>129</v>
      </c>
      <c r="I93">
        <v>40139</v>
      </c>
      <c r="J93" t="s">
        <v>72</v>
      </c>
      <c r="K93">
        <v>4757</v>
      </c>
      <c r="L93" s="1">
        <v>5.5999999999999999E-3</v>
      </c>
      <c r="M93">
        <v>5004</v>
      </c>
      <c r="N93" s="1">
        <v>4.4000000000000003E-3</v>
      </c>
      <c r="O93">
        <v>645516</v>
      </c>
      <c r="P93" s="1">
        <v>1.17E-2</v>
      </c>
      <c r="Q93">
        <v>6758</v>
      </c>
      <c r="R93">
        <v>14854</v>
      </c>
      <c r="S93" s="1">
        <v>0.45500000000000002</v>
      </c>
      <c r="T93">
        <v>0</v>
      </c>
      <c r="U93">
        <v>1909</v>
      </c>
      <c r="Y93" t="s">
        <v>189</v>
      </c>
      <c r="Z93" t="s">
        <v>964</v>
      </c>
      <c r="AA93" t="s">
        <v>1114</v>
      </c>
      <c r="AB93" s="2">
        <v>41208.837835648148</v>
      </c>
      <c r="AC93" t="s">
        <v>224</v>
      </c>
      <c r="AD93" t="s">
        <v>193</v>
      </c>
      <c r="AE93">
        <v>38588</v>
      </c>
      <c r="AF93" t="s">
        <v>78</v>
      </c>
      <c r="AG93" s="1">
        <v>0.99299999999999999</v>
      </c>
      <c r="AH93" t="s">
        <v>79</v>
      </c>
      <c r="AI93" t="s">
        <v>80</v>
      </c>
      <c r="AK93" s="3">
        <v>42241</v>
      </c>
      <c r="AL93" s="4">
        <v>0.42684027777777778</v>
      </c>
      <c r="AM93" t="s">
        <v>1115</v>
      </c>
      <c r="AN93" t="s">
        <v>251</v>
      </c>
      <c r="AO93" t="s">
        <v>1116</v>
      </c>
      <c r="AP93" t="s">
        <v>1117</v>
      </c>
      <c r="AQ93" t="s">
        <v>85</v>
      </c>
      <c r="AR93" t="s">
        <v>601</v>
      </c>
      <c r="AT93" t="s">
        <v>1118</v>
      </c>
      <c r="AU93" t="s">
        <v>89</v>
      </c>
      <c r="AV93" t="s">
        <v>1119</v>
      </c>
      <c r="AX93" t="s">
        <v>413</v>
      </c>
      <c r="AY93" t="s">
        <v>144</v>
      </c>
      <c r="AZ93" t="s">
        <v>94</v>
      </c>
      <c r="BA93" t="s">
        <v>121</v>
      </c>
      <c r="BC93" t="s">
        <v>313</v>
      </c>
      <c r="BD93" t="s">
        <v>1120</v>
      </c>
      <c r="BE93">
        <v>335</v>
      </c>
      <c r="BF93" t="s">
        <v>168</v>
      </c>
      <c r="BG93" t="s">
        <v>97</v>
      </c>
      <c r="BI93" t="s">
        <v>144</v>
      </c>
      <c r="BK93" t="s">
        <v>66</v>
      </c>
      <c r="BM93" t="s">
        <v>147</v>
      </c>
      <c r="BN93" t="s">
        <v>184</v>
      </c>
      <c r="BO93" t="s">
        <v>185</v>
      </c>
      <c r="BQ93" t="s">
        <v>100</v>
      </c>
      <c r="BR93" t="s">
        <v>1121</v>
      </c>
    </row>
    <row r="94" spans="1:70" x14ac:dyDescent="0.25">
      <c r="A94">
        <v>92</v>
      </c>
      <c r="B94" t="s">
        <v>1122</v>
      </c>
      <c r="C94" t="s">
        <v>1123</v>
      </c>
      <c r="E94">
        <v>163</v>
      </c>
      <c r="F94" s="1">
        <v>0.31900000000000001</v>
      </c>
      <c r="G94">
        <v>52</v>
      </c>
      <c r="H94">
        <v>52</v>
      </c>
      <c r="I94">
        <v>9678</v>
      </c>
      <c r="J94" t="s">
        <v>72</v>
      </c>
      <c r="K94">
        <v>4733</v>
      </c>
      <c r="L94" s="1">
        <v>5.4999999999999997E-3</v>
      </c>
      <c r="M94">
        <v>5855</v>
      </c>
      <c r="N94" s="1">
        <v>5.1999999999999998E-3</v>
      </c>
      <c r="O94">
        <v>304460</v>
      </c>
      <c r="P94" s="1">
        <v>5.4999999999999997E-3</v>
      </c>
      <c r="Q94">
        <v>22470</v>
      </c>
      <c r="R94">
        <v>55797</v>
      </c>
      <c r="S94" s="1">
        <v>0.4027</v>
      </c>
      <c r="T94">
        <v>6</v>
      </c>
      <c r="U94">
        <v>3080</v>
      </c>
      <c r="Y94" t="s">
        <v>305</v>
      </c>
      <c r="Z94" t="s">
        <v>175</v>
      </c>
      <c r="AA94" t="s">
        <v>1124</v>
      </c>
      <c r="AB94" s="2">
        <v>41940.656493055554</v>
      </c>
      <c r="AC94" t="s">
        <v>108</v>
      </c>
      <c r="AD94" t="s">
        <v>77</v>
      </c>
      <c r="AE94">
        <v>3258</v>
      </c>
      <c r="AF94" t="s">
        <v>78</v>
      </c>
      <c r="AG94" s="1">
        <v>0.98140000000000005</v>
      </c>
      <c r="AH94" t="s">
        <v>79</v>
      </c>
      <c r="AI94" t="s">
        <v>80</v>
      </c>
      <c r="AK94" s="3">
        <v>42244</v>
      </c>
      <c r="AL94" s="4">
        <v>0.83761574074074074</v>
      </c>
      <c r="AM94" t="s">
        <v>1125</v>
      </c>
      <c r="AN94" t="s">
        <v>111</v>
      </c>
      <c r="AO94" t="s">
        <v>1126</v>
      </c>
      <c r="AP94" t="s">
        <v>1127</v>
      </c>
      <c r="AQ94" t="s">
        <v>85</v>
      </c>
      <c r="AR94" t="s">
        <v>86</v>
      </c>
      <c r="AS94" t="s">
        <v>115</v>
      </c>
      <c r="AT94" t="s">
        <v>144</v>
      </c>
      <c r="AU94" t="s">
        <v>89</v>
      </c>
      <c r="AV94" t="s">
        <v>1128</v>
      </c>
      <c r="AW94" t="s">
        <v>91</v>
      </c>
      <c r="AX94" t="s">
        <v>287</v>
      </c>
      <c r="AY94" t="s">
        <v>513</v>
      </c>
      <c r="AZ94" t="s">
        <v>140</v>
      </c>
      <c r="BA94" t="s">
        <v>141</v>
      </c>
      <c r="BC94" t="s">
        <v>142</v>
      </c>
      <c r="BD94" t="s">
        <v>1129</v>
      </c>
      <c r="BF94" t="s">
        <v>168</v>
      </c>
      <c r="BG94" t="s">
        <v>97</v>
      </c>
      <c r="BI94" t="s">
        <v>144</v>
      </c>
      <c r="BK94" t="s">
        <v>49</v>
      </c>
      <c r="BM94" t="s">
        <v>171</v>
      </c>
      <c r="BN94" t="s">
        <v>184</v>
      </c>
      <c r="BP94" t="s">
        <v>126</v>
      </c>
      <c r="BQ94" t="s">
        <v>127</v>
      </c>
      <c r="BR94" t="s">
        <v>1130</v>
      </c>
    </row>
    <row r="95" spans="1:70" x14ac:dyDescent="0.25">
      <c r="A95">
        <v>93</v>
      </c>
      <c r="B95" t="s">
        <v>1131</v>
      </c>
      <c r="C95" t="s">
        <v>188</v>
      </c>
      <c r="D95">
        <v>1510</v>
      </c>
      <c r="E95">
        <v>99</v>
      </c>
      <c r="F95" s="1">
        <v>0.159</v>
      </c>
      <c r="G95">
        <v>15.74</v>
      </c>
      <c r="H95">
        <v>15.74</v>
      </c>
      <c r="I95">
        <v>61662</v>
      </c>
      <c r="J95" t="s">
        <v>72</v>
      </c>
      <c r="K95">
        <v>4723</v>
      </c>
      <c r="L95" s="1">
        <v>5.4999999999999997E-3</v>
      </c>
      <c r="M95">
        <v>11465</v>
      </c>
      <c r="N95" s="1">
        <v>1.01E-2</v>
      </c>
      <c r="O95">
        <v>180459.1</v>
      </c>
      <c r="P95" s="1">
        <v>3.3E-3</v>
      </c>
      <c r="Q95">
        <v>11028</v>
      </c>
      <c r="R95">
        <v>173751</v>
      </c>
      <c r="S95" s="1">
        <v>6.3500000000000001E-2</v>
      </c>
      <c r="T95">
        <v>139</v>
      </c>
      <c r="U95">
        <v>15034</v>
      </c>
      <c r="Y95" t="s">
        <v>189</v>
      </c>
      <c r="Z95" t="s">
        <v>190</v>
      </c>
      <c r="AA95" t="s">
        <v>1132</v>
      </c>
      <c r="AB95" s="2">
        <v>40447.78020833333</v>
      </c>
      <c r="AC95" t="s">
        <v>236</v>
      </c>
      <c r="AD95" t="s">
        <v>193</v>
      </c>
      <c r="AE95">
        <v>31510</v>
      </c>
      <c r="AF95" t="s">
        <v>78</v>
      </c>
      <c r="AG95" s="1">
        <v>0.9849</v>
      </c>
      <c r="AH95" t="s">
        <v>79</v>
      </c>
      <c r="AI95" t="s">
        <v>80</v>
      </c>
      <c r="AK95" s="3">
        <v>42243</v>
      </c>
      <c r="AL95" s="4">
        <v>0.90984953703703697</v>
      </c>
      <c r="AM95" t="s">
        <v>1133</v>
      </c>
      <c r="AN95" t="s">
        <v>179</v>
      </c>
      <c r="AO95" t="s">
        <v>1134</v>
      </c>
      <c r="AP95" t="s">
        <v>1135</v>
      </c>
      <c r="AQ95" t="s">
        <v>85</v>
      </c>
      <c r="AR95" t="s">
        <v>164</v>
      </c>
      <c r="AT95" t="s">
        <v>116</v>
      </c>
      <c r="AU95" t="s">
        <v>89</v>
      </c>
      <c r="AV95" t="s">
        <v>1136</v>
      </c>
      <c r="AW95" t="s">
        <v>91</v>
      </c>
      <c r="AX95" t="s">
        <v>1137</v>
      </c>
      <c r="AY95" t="s">
        <v>199</v>
      </c>
      <c r="AZ95" t="s">
        <v>120</v>
      </c>
      <c r="BA95" t="s">
        <v>121</v>
      </c>
      <c r="BC95" t="s">
        <v>144</v>
      </c>
      <c r="BD95" t="s">
        <v>1138</v>
      </c>
      <c r="BE95">
        <v>1510</v>
      </c>
      <c r="BF95" t="s">
        <v>201</v>
      </c>
      <c r="BG95" t="s">
        <v>97</v>
      </c>
      <c r="BI95" t="s">
        <v>711</v>
      </c>
      <c r="BK95" t="s">
        <v>49</v>
      </c>
      <c r="BM95" t="s">
        <v>98</v>
      </c>
      <c r="BN95" t="s">
        <v>125</v>
      </c>
      <c r="BP95" t="s">
        <v>203</v>
      </c>
      <c r="BQ95" t="s">
        <v>100</v>
      </c>
      <c r="BR95" t="s">
        <v>1139</v>
      </c>
    </row>
    <row r="96" spans="1:70" x14ac:dyDescent="0.25">
      <c r="A96">
        <v>94</v>
      </c>
      <c r="B96" t="s">
        <v>1140</v>
      </c>
      <c r="C96" t="s">
        <v>1141</v>
      </c>
      <c r="E96">
        <v>91</v>
      </c>
      <c r="F96" s="1">
        <v>0.17580000000000001</v>
      </c>
      <c r="G96">
        <v>16</v>
      </c>
      <c r="H96">
        <v>16</v>
      </c>
      <c r="I96">
        <v>1087556</v>
      </c>
      <c r="J96" t="s">
        <v>72</v>
      </c>
      <c r="K96">
        <v>4707</v>
      </c>
      <c r="L96" s="1">
        <v>5.4999999999999997E-3</v>
      </c>
      <c r="M96">
        <v>5761</v>
      </c>
      <c r="N96" s="1">
        <v>5.1000000000000004E-3</v>
      </c>
      <c r="O96">
        <v>92176</v>
      </c>
      <c r="P96" s="1">
        <v>1.6999999999999999E-3</v>
      </c>
      <c r="Q96">
        <v>56436</v>
      </c>
      <c r="R96">
        <v>90233</v>
      </c>
      <c r="S96" s="1">
        <v>0.62539999999999996</v>
      </c>
      <c r="T96">
        <v>19</v>
      </c>
      <c r="U96">
        <v>13395</v>
      </c>
      <c r="Y96" t="s">
        <v>105</v>
      </c>
      <c r="Z96" t="s">
        <v>175</v>
      </c>
      <c r="AA96" t="s">
        <v>223</v>
      </c>
      <c r="AB96" s="2">
        <v>41571.556886574072</v>
      </c>
      <c r="AC96" t="s">
        <v>224</v>
      </c>
      <c r="AD96" t="s">
        <v>193</v>
      </c>
      <c r="AE96">
        <v>10680</v>
      </c>
      <c r="AF96" t="s">
        <v>78</v>
      </c>
      <c r="AG96" s="1">
        <v>0.97489999999999999</v>
      </c>
      <c r="AH96" t="s">
        <v>79</v>
      </c>
      <c r="AI96" t="s">
        <v>80</v>
      </c>
      <c r="AK96" s="3">
        <v>42246</v>
      </c>
      <c r="AL96" s="4">
        <v>0.67129629629629628</v>
      </c>
      <c r="AM96" t="s">
        <v>1142</v>
      </c>
      <c r="AN96" t="s">
        <v>194</v>
      </c>
      <c r="AO96" t="s">
        <v>1143</v>
      </c>
      <c r="AP96" t="s">
        <v>1144</v>
      </c>
      <c r="AQ96" t="s">
        <v>85</v>
      </c>
      <c r="AR96" t="s">
        <v>86</v>
      </c>
      <c r="AT96" t="s">
        <v>88</v>
      </c>
      <c r="AU96" t="s">
        <v>89</v>
      </c>
      <c r="AV96" t="s">
        <v>1145</v>
      </c>
      <c r="AW96" t="s">
        <v>91</v>
      </c>
      <c r="AX96" t="s">
        <v>1146</v>
      </c>
      <c r="AY96" t="s">
        <v>93</v>
      </c>
      <c r="AZ96" t="s">
        <v>120</v>
      </c>
      <c r="BA96" t="s">
        <v>121</v>
      </c>
      <c r="BC96" t="s">
        <v>313</v>
      </c>
      <c r="BD96" t="s">
        <v>243</v>
      </c>
      <c r="BF96" t="s">
        <v>168</v>
      </c>
      <c r="BG96" t="s">
        <v>97</v>
      </c>
      <c r="BI96" t="s">
        <v>219</v>
      </c>
      <c r="BK96" t="s">
        <v>49</v>
      </c>
      <c r="BM96" t="s">
        <v>98</v>
      </c>
      <c r="BN96" t="s">
        <v>184</v>
      </c>
      <c r="BP96" t="s">
        <v>149</v>
      </c>
      <c r="BQ96" t="s">
        <v>100</v>
      </c>
      <c r="BR96" t="s">
        <v>1147</v>
      </c>
    </row>
    <row r="97" spans="1:70" x14ac:dyDescent="0.25">
      <c r="A97">
        <v>95</v>
      </c>
      <c r="B97" t="s">
        <v>1148</v>
      </c>
      <c r="C97" t="s">
        <v>1149</v>
      </c>
      <c r="E97">
        <v>118</v>
      </c>
      <c r="F97" s="1">
        <v>0.32200000000000001</v>
      </c>
      <c r="G97">
        <v>38</v>
      </c>
      <c r="H97">
        <v>38</v>
      </c>
      <c r="I97">
        <v>3823</v>
      </c>
      <c r="J97" t="s">
        <v>72</v>
      </c>
      <c r="K97">
        <v>4706</v>
      </c>
      <c r="L97" s="1">
        <v>5.4999999999999997E-3</v>
      </c>
      <c r="M97">
        <v>5520</v>
      </c>
      <c r="N97" s="1">
        <v>4.8999999999999998E-3</v>
      </c>
      <c r="O97">
        <v>209760</v>
      </c>
      <c r="P97" s="1">
        <v>3.8E-3</v>
      </c>
      <c r="Q97">
        <v>24248</v>
      </c>
      <c r="R97">
        <v>120085</v>
      </c>
      <c r="S97" s="1">
        <v>0.2019</v>
      </c>
      <c r="T97">
        <v>21</v>
      </c>
      <c r="U97">
        <v>1844</v>
      </c>
      <c r="Y97" t="s">
        <v>131</v>
      </c>
      <c r="Z97" t="s">
        <v>175</v>
      </c>
      <c r="AA97" t="s">
        <v>235</v>
      </c>
      <c r="AB97" s="2">
        <v>41112.482210648152</v>
      </c>
      <c r="AC97" t="s">
        <v>236</v>
      </c>
      <c r="AD97" t="s">
        <v>237</v>
      </c>
      <c r="AE97">
        <v>139674</v>
      </c>
      <c r="AF97" t="s">
        <v>78</v>
      </c>
      <c r="AG97" s="1">
        <v>0.9849</v>
      </c>
      <c r="AH97" t="s">
        <v>79</v>
      </c>
      <c r="AI97" t="s">
        <v>80</v>
      </c>
      <c r="AK97" s="3">
        <v>42245</v>
      </c>
      <c r="AL97" s="4">
        <v>0.68917824074074074</v>
      </c>
      <c r="AM97" t="s">
        <v>1150</v>
      </c>
      <c r="AN97" t="s">
        <v>161</v>
      </c>
      <c r="AO97" t="s">
        <v>1151</v>
      </c>
      <c r="AP97" t="s">
        <v>1152</v>
      </c>
      <c r="AQ97" t="s">
        <v>144</v>
      </c>
      <c r="AS97" t="s">
        <v>115</v>
      </c>
      <c r="AT97" t="s">
        <v>144</v>
      </c>
      <c r="AU97" t="s">
        <v>144</v>
      </c>
      <c r="AV97" t="s">
        <v>1153</v>
      </c>
      <c r="AW97" t="s">
        <v>216</v>
      </c>
      <c r="AX97" t="s">
        <v>287</v>
      </c>
      <c r="AY97" t="s">
        <v>144</v>
      </c>
      <c r="AZ97" t="s">
        <v>140</v>
      </c>
      <c r="BA97" t="s">
        <v>121</v>
      </c>
      <c r="BC97" t="s">
        <v>144</v>
      </c>
      <c r="BD97" t="s">
        <v>1154</v>
      </c>
      <c r="BF97" t="s">
        <v>168</v>
      </c>
      <c r="BG97" t="s">
        <v>97</v>
      </c>
      <c r="BI97" t="s">
        <v>144</v>
      </c>
      <c r="BJ97" t="s">
        <v>145</v>
      </c>
      <c r="BK97" t="s">
        <v>49</v>
      </c>
      <c r="BM97" t="s">
        <v>171</v>
      </c>
      <c r="BN97" t="s">
        <v>144</v>
      </c>
      <c r="BQ97" t="s">
        <v>100</v>
      </c>
      <c r="BR97" t="s">
        <v>1155</v>
      </c>
    </row>
    <row r="98" spans="1:70" x14ac:dyDescent="0.25">
      <c r="A98">
        <v>96</v>
      </c>
      <c r="B98" t="s">
        <v>1156</v>
      </c>
      <c r="C98" t="s">
        <v>1157</v>
      </c>
      <c r="D98" t="s">
        <v>1158</v>
      </c>
      <c r="E98">
        <v>138</v>
      </c>
      <c r="F98" s="1">
        <v>0.5</v>
      </c>
      <c r="G98">
        <v>69</v>
      </c>
      <c r="H98">
        <v>69</v>
      </c>
      <c r="I98">
        <v>26139</v>
      </c>
      <c r="J98">
        <v>5</v>
      </c>
      <c r="K98">
        <v>4680</v>
      </c>
      <c r="L98" s="1">
        <v>5.4999999999999997E-3</v>
      </c>
      <c r="M98">
        <v>12524</v>
      </c>
      <c r="N98" s="1">
        <v>1.0999999999999999E-2</v>
      </c>
      <c r="O98">
        <v>864156</v>
      </c>
      <c r="P98" s="1">
        <v>1.5599999999999999E-2</v>
      </c>
      <c r="Q98">
        <v>105020</v>
      </c>
      <c r="R98">
        <v>145604</v>
      </c>
      <c r="S98" s="1">
        <v>0.72130000000000005</v>
      </c>
      <c r="T98">
        <v>68</v>
      </c>
      <c r="U98">
        <v>143</v>
      </c>
      <c r="W98" t="s">
        <v>1095</v>
      </c>
      <c r="Y98" t="s">
        <v>1096</v>
      </c>
      <c r="Z98" t="s">
        <v>74</v>
      </c>
      <c r="AA98" t="s">
        <v>1097</v>
      </c>
      <c r="AB98" s="2">
        <v>40539.464074074072</v>
      </c>
      <c r="AC98" t="s">
        <v>468</v>
      </c>
      <c r="AD98" t="s">
        <v>383</v>
      </c>
      <c r="AE98">
        <v>5888612</v>
      </c>
      <c r="AF98" t="s">
        <v>78</v>
      </c>
      <c r="AG98" s="1">
        <v>0.99129999999999996</v>
      </c>
      <c r="AH98" t="s">
        <v>79</v>
      </c>
      <c r="AI98" t="s">
        <v>80</v>
      </c>
      <c r="AK98" s="3">
        <v>42242</v>
      </c>
      <c r="AL98" s="4">
        <v>0.45351851851851849</v>
      </c>
      <c r="AM98" t="s">
        <v>1159</v>
      </c>
      <c r="AN98" t="s">
        <v>135</v>
      </c>
      <c r="AO98" t="s">
        <v>1160</v>
      </c>
      <c r="AP98" t="s">
        <v>1161</v>
      </c>
      <c r="AQ98" t="s">
        <v>85</v>
      </c>
      <c r="AR98" t="s">
        <v>283</v>
      </c>
      <c r="AT98" t="s">
        <v>88</v>
      </c>
      <c r="AU98" t="s">
        <v>89</v>
      </c>
      <c r="AV98" t="s">
        <v>547</v>
      </c>
      <c r="AX98" t="s">
        <v>287</v>
      </c>
      <c r="AY98" t="s">
        <v>474</v>
      </c>
      <c r="AZ98" t="s">
        <v>120</v>
      </c>
      <c r="BD98" t="s">
        <v>243</v>
      </c>
      <c r="BE98" t="s">
        <v>1158</v>
      </c>
      <c r="BF98" t="s">
        <v>96</v>
      </c>
      <c r="BG98" t="s">
        <v>1162</v>
      </c>
      <c r="BI98" t="s">
        <v>219</v>
      </c>
      <c r="BJ98" t="s">
        <v>1103</v>
      </c>
      <c r="BK98" t="s">
        <v>66</v>
      </c>
      <c r="BM98" t="s">
        <v>147</v>
      </c>
      <c r="BO98" t="s">
        <v>185</v>
      </c>
      <c r="BQ98" t="s">
        <v>100</v>
      </c>
    </row>
    <row r="99" spans="1:70" x14ac:dyDescent="0.25">
      <c r="A99">
        <v>97</v>
      </c>
      <c r="B99" t="s">
        <v>1163</v>
      </c>
      <c r="C99" t="s">
        <v>1164</v>
      </c>
      <c r="E99">
        <v>488</v>
      </c>
      <c r="F99" s="1">
        <v>0.13189999999999999</v>
      </c>
      <c r="G99">
        <v>64.349999999999994</v>
      </c>
      <c r="H99">
        <v>64.349999999999994</v>
      </c>
      <c r="I99">
        <v>8647</v>
      </c>
      <c r="J99" t="s">
        <v>72</v>
      </c>
      <c r="K99">
        <v>4639</v>
      </c>
      <c r="L99" s="1">
        <v>5.4000000000000003E-3</v>
      </c>
      <c r="M99">
        <v>6659</v>
      </c>
      <c r="N99" s="1">
        <v>5.8999999999999999E-3</v>
      </c>
      <c r="O99">
        <v>428506.65</v>
      </c>
      <c r="P99" s="1">
        <v>7.7999999999999996E-3</v>
      </c>
      <c r="Q99">
        <v>7576</v>
      </c>
      <c r="R99">
        <v>57286</v>
      </c>
      <c r="S99" s="1">
        <v>0.13220000000000001</v>
      </c>
      <c r="T99">
        <v>6</v>
      </c>
      <c r="U99">
        <v>552</v>
      </c>
      <c r="Y99" t="s">
        <v>105</v>
      </c>
      <c r="Z99" t="s">
        <v>175</v>
      </c>
      <c r="AA99" t="s">
        <v>1165</v>
      </c>
      <c r="AB99" s="2">
        <v>41869.395185185182</v>
      </c>
      <c r="AC99" t="s">
        <v>407</v>
      </c>
      <c r="AD99" t="s">
        <v>237</v>
      </c>
      <c r="AE99">
        <v>2025</v>
      </c>
      <c r="AF99" t="s">
        <v>78</v>
      </c>
      <c r="AG99" s="1">
        <v>0.98280000000000001</v>
      </c>
      <c r="AH99" t="s">
        <v>79</v>
      </c>
      <c r="AI99" t="s">
        <v>80</v>
      </c>
      <c r="AK99" s="3">
        <v>42242</v>
      </c>
      <c r="AL99" s="4">
        <v>0.75223379629629628</v>
      </c>
      <c r="AM99" t="s">
        <v>1166</v>
      </c>
      <c r="AN99" t="s">
        <v>135</v>
      </c>
      <c r="AO99" t="s">
        <v>1167</v>
      </c>
      <c r="AP99" t="s">
        <v>1168</v>
      </c>
      <c r="AQ99" t="s">
        <v>213</v>
      </c>
      <c r="AR99" t="s">
        <v>283</v>
      </c>
      <c r="AS99" t="s">
        <v>115</v>
      </c>
      <c r="AT99" t="s">
        <v>88</v>
      </c>
      <c r="AU99" t="s">
        <v>89</v>
      </c>
      <c r="AV99" t="s">
        <v>875</v>
      </c>
      <c r="AW99" t="s">
        <v>216</v>
      </c>
      <c r="AX99" t="s">
        <v>92</v>
      </c>
      <c r="AY99" t="s">
        <v>93</v>
      </c>
      <c r="AZ99" t="s">
        <v>230</v>
      </c>
      <c r="BA99" t="s">
        <v>121</v>
      </c>
      <c r="BC99" t="s">
        <v>144</v>
      </c>
      <c r="BD99" t="s">
        <v>1169</v>
      </c>
      <c r="BF99" t="s">
        <v>201</v>
      </c>
      <c r="BG99" t="s">
        <v>97</v>
      </c>
      <c r="BI99" t="s">
        <v>219</v>
      </c>
      <c r="BK99" t="s">
        <v>49</v>
      </c>
      <c r="BM99" t="s">
        <v>147</v>
      </c>
      <c r="BN99" t="s">
        <v>99</v>
      </c>
      <c r="BP99" t="s">
        <v>126</v>
      </c>
      <c r="BQ99" t="s">
        <v>329</v>
      </c>
      <c r="BR99" t="s">
        <v>1170</v>
      </c>
    </row>
    <row r="100" spans="1:70" x14ac:dyDescent="0.25">
      <c r="A100">
        <v>98</v>
      </c>
      <c r="B100" t="s">
        <v>1171</v>
      </c>
      <c r="C100" t="s">
        <v>1172</v>
      </c>
      <c r="D100" t="s">
        <v>1173</v>
      </c>
      <c r="E100">
        <v>368</v>
      </c>
      <c r="F100" s="1">
        <v>0.44280000000000003</v>
      </c>
      <c r="G100">
        <v>162.96</v>
      </c>
      <c r="H100">
        <v>162.96</v>
      </c>
      <c r="I100">
        <v>11688</v>
      </c>
      <c r="J100" t="s">
        <v>72</v>
      </c>
      <c r="K100">
        <v>4615</v>
      </c>
      <c r="L100" s="1">
        <v>5.4000000000000003E-3</v>
      </c>
      <c r="M100">
        <v>4840</v>
      </c>
      <c r="N100" s="1">
        <v>4.3E-3</v>
      </c>
      <c r="O100">
        <v>788726.4</v>
      </c>
      <c r="P100" s="1">
        <v>1.43E-2</v>
      </c>
      <c r="Q100">
        <v>73412</v>
      </c>
      <c r="R100">
        <v>339045</v>
      </c>
      <c r="S100" s="1">
        <v>0.2165</v>
      </c>
      <c r="T100">
        <v>5</v>
      </c>
      <c r="U100">
        <v>1538</v>
      </c>
      <c r="Y100" t="s">
        <v>870</v>
      </c>
      <c r="Z100" t="s">
        <v>74</v>
      </c>
      <c r="AA100" t="s">
        <v>1174</v>
      </c>
      <c r="AB100" s="2">
        <v>42186.735914351855</v>
      </c>
      <c r="AC100" t="s">
        <v>640</v>
      </c>
      <c r="AD100" t="s">
        <v>307</v>
      </c>
      <c r="AE100">
        <v>7838</v>
      </c>
      <c r="AF100" t="s">
        <v>78</v>
      </c>
      <c r="AG100" s="1">
        <v>0.97670000000000001</v>
      </c>
      <c r="AH100" t="s">
        <v>79</v>
      </c>
      <c r="AI100" t="s">
        <v>80</v>
      </c>
      <c r="AK100" s="3">
        <v>42243</v>
      </c>
      <c r="AL100" s="4">
        <v>0.93871527777777775</v>
      </c>
      <c r="AM100" t="s">
        <v>1175</v>
      </c>
      <c r="AN100" t="s">
        <v>179</v>
      </c>
      <c r="AO100" t="s">
        <v>1176</v>
      </c>
      <c r="AP100" t="s">
        <v>1177</v>
      </c>
      <c r="AQ100" t="s">
        <v>85</v>
      </c>
      <c r="AR100" t="s">
        <v>214</v>
      </c>
      <c r="AS100" t="s">
        <v>115</v>
      </c>
      <c r="AT100" t="s">
        <v>88</v>
      </c>
      <c r="AU100" t="s">
        <v>89</v>
      </c>
      <c r="AV100" t="s">
        <v>1178</v>
      </c>
      <c r="AW100" t="s">
        <v>91</v>
      </c>
      <c r="AX100" t="s">
        <v>1179</v>
      </c>
      <c r="AY100" t="s">
        <v>93</v>
      </c>
      <c r="AZ100" t="s">
        <v>230</v>
      </c>
      <c r="BA100" t="s">
        <v>121</v>
      </c>
      <c r="BC100" t="s">
        <v>144</v>
      </c>
      <c r="BD100" t="s">
        <v>1102</v>
      </c>
      <c r="BE100" t="s">
        <v>1173</v>
      </c>
      <c r="BF100" t="s">
        <v>96</v>
      </c>
      <c r="BG100" t="s">
        <v>97</v>
      </c>
      <c r="BI100" t="s">
        <v>219</v>
      </c>
      <c r="BK100" t="s">
        <v>49</v>
      </c>
      <c r="BM100" t="s">
        <v>328</v>
      </c>
      <c r="BN100" t="s">
        <v>99</v>
      </c>
      <c r="BQ100" t="s">
        <v>100</v>
      </c>
      <c r="BR100" t="s">
        <v>1180</v>
      </c>
    </row>
    <row r="101" spans="1:70" x14ac:dyDescent="0.25">
      <c r="A101">
        <v>99</v>
      </c>
      <c r="B101" t="s">
        <v>1181</v>
      </c>
      <c r="C101" t="s">
        <v>1182</v>
      </c>
      <c r="E101">
        <v>99.6</v>
      </c>
      <c r="F101" s="1">
        <v>0.49</v>
      </c>
      <c r="G101">
        <v>48.8</v>
      </c>
      <c r="H101">
        <v>48.8</v>
      </c>
      <c r="I101">
        <v>19298</v>
      </c>
      <c r="J101" t="s">
        <v>72</v>
      </c>
      <c r="K101">
        <v>4612</v>
      </c>
      <c r="L101" s="1">
        <v>5.4000000000000003E-3</v>
      </c>
      <c r="M101">
        <v>7630</v>
      </c>
      <c r="N101" s="1">
        <v>6.7000000000000002E-3</v>
      </c>
      <c r="O101">
        <v>372344</v>
      </c>
      <c r="P101" s="1">
        <v>6.7000000000000002E-3</v>
      </c>
      <c r="Q101">
        <v>14992</v>
      </c>
      <c r="R101">
        <v>24476</v>
      </c>
      <c r="S101" s="1">
        <v>0.61250000000000004</v>
      </c>
      <c r="T101">
        <v>2</v>
      </c>
      <c r="U101">
        <v>1024</v>
      </c>
      <c r="Y101" t="s">
        <v>596</v>
      </c>
      <c r="Z101" t="s">
        <v>175</v>
      </c>
      <c r="AA101" t="s">
        <v>1183</v>
      </c>
      <c r="AB101" s="2">
        <v>42126.598587962966</v>
      </c>
      <c r="AC101" t="s">
        <v>640</v>
      </c>
      <c r="AD101" t="s">
        <v>237</v>
      </c>
      <c r="AE101">
        <v>3133</v>
      </c>
      <c r="AF101" t="s">
        <v>78</v>
      </c>
      <c r="AG101" s="1">
        <v>0.98860000000000003</v>
      </c>
      <c r="AH101" t="s">
        <v>79</v>
      </c>
      <c r="AI101" t="s">
        <v>80</v>
      </c>
      <c r="AK101" s="3">
        <v>42244</v>
      </c>
      <c r="AL101" s="4">
        <v>0.875</v>
      </c>
      <c r="AM101" t="s">
        <v>1184</v>
      </c>
      <c r="AN101" t="s">
        <v>111</v>
      </c>
      <c r="AO101" t="s">
        <v>1185</v>
      </c>
      <c r="AP101" t="s">
        <v>1186</v>
      </c>
      <c r="AQ101" t="s">
        <v>85</v>
      </c>
      <c r="AR101" t="s">
        <v>86</v>
      </c>
      <c r="AS101" t="s">
        <v>115</v>
      </c>
      <c r="AT101" t="s">
        <v>144</v>
      </c>
      <c r="AU101" t="s">
        <v>240</v>
      </c>
      <c r="AV101" t="s">
        <v>1187</v>
      </c>
      <c r="AX101" t="s">
        <v>1188</v>
      </c>
      <c r="AY101" t="s">
        <v>326</v>
      </c>
      <c r="AZ101" t="s">
        <v>94</v>
      </c>
      <c r="BA101" t="s">
        <v>121</v>
      </c>
      <c r="BC101" t="s">
        <v>144</v>
      </c>
      <c r="BD101" t="s">
        <v>1189</v>
      </c>
      <c r="BF101" t="s">
        <v>168</v>
      </c>
      <c r="BG101" t="s">
        <v>97</v>
      </c>
      <c r="BI101" t="s">
        <v>219</v>
      </c>
      <c r="BK101" t="s">
        <v>63</v>
      </c>
      <c r="BL101" t="s">
        <v>245</v>
      </c>
      <c r="BM101" t="s">
        <v>147</v>
      </c>
      <c r="BN101" t="s">
        <v>184</v>
      </c>
      <c r="BP101" t="s">
        <v>149</v>
      </c>
      <c r="BQ101" t="s">
        <v>100</v>
      </c>
      <c r="BR101" t="s">
        <v>1190</v>
      </c>
    </row>
    <row r="102" spans="1:70" x14ac:dyDescent="0.25">
      <c r="A102">
        <v>100</v>
      </c>
      <c r="B102" t="s">
        <v>1191</v>
      </c>
      <c r="C102" t="s">
        <v>1192</v>
      </c>
      <c r="E102">
        <v>135</v>
      </c>
      <c r="F102" s="1">
        <v>0.24890000000000001</v>
      </c>
      <c r="G102">
        <v>33.6</v>
      </c>
      <c r="H102">
        <v>33.6</v>
      </c>
      <c r="I102">
        <v>25326</v>
      </c>
      <c r="J102" t="s">
        <v>72</v>
      </c>
      <c r="K102">
        <v>4590</v>
      </c>
      <c r="L102" s="1">
        <v>5.4000000000000003E-3</v>
      </c>
      <c r="M102">
        <v>5524</v>
      </c>
      <c r="N102" s="1">
        <v>4.8999999999999998E-3</v>
      </c>
      <c r="O102">
        <v>185606.39999999999</v>
      </c>
      <c r="P102" s="1">
        <v>3.3999999999999998E-3</v>
      </c>
      <c r="Q102">
        <v>11806</v>
      </c>
      <c r="R102">
        <v>50331</v>
      </c>
      <c r="S102" s="1">
        <v>0.2346</v>
      </c>
      <c r="T102">
        <v>9</v>
      </c>
      <c r="U102">
        <v>4095</v>
      </c>
      <c r="Y102" t="s">
        <v>1193</v>
      </c>
      <c r="Z102" t="s">
        <v>175</v>
      </c>
      <c r="AA102" t="s">
        <v>1194</v>
      </c>
      <c r="AB102" s="2">
        <v>41304.811122685183</v>
      </c>
      <c r="AC102" t="s">
        <v>76</v>
      </c>
      <c r="AD102" t="s">
        <v>408</v>
      </c>
      <c r="AE102">
        <v>2113</v>
      </c>
      <c r="AF102" t="s">
        <v>78</v>
      </c>
      <c r="AG102" s="1">
        <v>0.98499999999999999</v>
      </c>
      <c r="AH102" t="s">
        <v>79</v>
      </c>
      <c r="AI102" t="s">
        <v>80</v>
      </c>
      <c r="AK102" s="3">
        <v>42242</v>
      </c>
      <c r="AL102" s="4">
        <v>0.9375</v>
      </c>
      <c r="AM102" t="s">
        <v>1195</v>
      </c>
      <c r="AN102" t="s">
        <v>135</v>
      </c>
      <c r="AO102" t="s">
        <v>1196</v>
      </c>
      <c r="AP102" t="s">
        <v>1197</v>
      </c>
      <c r="AQ102" t="s">
        <v>441</v>
      </c>
      <c r="AR102" t="s">
        <v>214</v>
      </c>
      <c r="AT102" t="s">
        <v>88</v>
      </c>
      <c r="AU102" t="s">
        <v>89</v>
      </c>
      <c r="AV102" t="s">
        <v>1198</v>
      </c>
      <c r="AW102" t="s">
        <v>91</v>
      </c>
      <c r="AX102" t="s">
        <v>413</v>
      </c>
      <c r="AY102" t="s">
        <v>93</v>
      </c>
      <c r="AZ102" t="s">
        <v>140</v>
      </c>
      <c r="BA102" t="s">
        <v>141</v>
      </c>
      <c r="BC102" t="s">
        <v>242</v>
      </c>
      <c r="BD102" t="s">
        <v>1199</v>
      </c>
      <c r="BF102" t="s">
        <v>124</v>
      </c>
      <c r="BG102" t="s">
        <v>97</v>
      </c>
      <c r="BI102" t="s">
        <v>711</v>
      </c>
      <c r="BK102" t="s">
        <v>49</v>
      </c>
      <c r="BM102" t="s">
        <v>171</v>
      </c>
      <c r="BN102" t="s">
        <v>144</v>
      </c>
      <c r="BQ102" t="s">
        <v>100</v>
      </c>
      <c r="BR102" t="s">
        <v>1200</v>
      </c>
    </row>
    <row r="103" spans="1:70" x14ac:dyDescent="0.25">
      <c r="A103">
        <v>101</v>
      </c>
      <c r="B103" t="s">
        <v>1201</v>
      </c>
      <c r="C103" t="s">
        <v>1202</v>
      </c>
      <c r="E103">
        <v>160</v>
      </c>
      <c r="F103" s="1">
        <v>0.35</v>
      </c>
      <c r="G103">
        <v>56</v>
      </c>
      <c r="H103">
        <v>56</v>
      </c>
      <c r="I103">
        <v>18406</v>
      </c>
      <c r="J103" t="s">
        <v>72</v>
      </c>
      <c r="K103">
        <v>4582</v>
      </c>
      <c r="L103" s="1">
        <v>5.4000000000000003E-3</v>
      </c>
      <c r="M103">
        <v>5696</v>
      </c>
      <c r="N103" s="1">
        <v>5.0000000000000001E-3</v>
      </c>
      <c r="O103">
        <v>318976</v>
      </c>
      <c r="P103" s="1">
        <v>5.7999999999999996E-3</v>
      </c>
      <c r="Q103">
        <v>5220</v>
      </c>
      <c r="R103">
        <v>30721</v>
      </c>
      <c r="S103" s="1">
        <v>0.1699</v>
      </c>
      <c r="T103">
        <v>7</v>
      </c>
      <c r="U103">
        <v>818</v>
      </c>
      <c r="Y103" t="s">
        <v>551</v>
      </c>
      <c r="Z103" t="s">
        <v>74</v>
      </c>
      <c r="AA103" t="s">
        <v>1203</v>
      </c>
      <c r="AB103" s="2">
        <v>41609.049143518518</v>
      </c>
      <c r="AC103" t="s">
        <v>407</v>
      </c>
      <c r="AD103" t="s">
        <v>109</v>
      </c>
      <c r="AE103">
        <v>1133</v>
      </c>
      <c r="AF103" t="s">
        <v>78</v>
      </c>
      <c r="AG103" s="1">
        <v>0.91839999999999999</v>
      </c>
      <c r="AH103" t="s">
        <v>79</v>
      </c>
      <c r="AI103" t="s">
        <v>80</v>
      </c>
      <c r="AK103" s="3">
        <v>42242</v>
      </c>
      <c r="AL103" s="4">
        <v>0.875</v>
      </c>
      <c r="AM103" t="s">
        <v>1204</v>
      </c>
      <c r="AN103" t="s">
        <v>135</v>
      </c>
      <c r="AO103" t="s">
        <v>1205</v>
      </c>
      <c r="AP103" t="s">
        <v>1206</v>
      </c>
      <c r="AQ103" t="s">
        <v>213</v>
      </c>
      <c r="AR103" t="s">
        <v>283</v>
      </c>
      <c r="AT103" t="s">
        <v>88</v>
      </c>
      <c r="AU103" t="s">
        <v>89</v>
      </c>
      <c r="AV103" t="s">
        <v>1207</v>
      </c>
      <c r="AW103" t="s">
        <v>91</v>
      </c>
      <c r="AX103" t="s">
        <v>876</v>
      </c>
      <c r="AY103" t="s">
        <v>93</v>
      </c>
      <c r="AZ103" t="s">
        <v>230</v>
      </c>
      <c r="BA103" t="s">
        <v>121</v>
      </c>
      <c r="BC103" t="s">
        <v>144</v>
      </c>
      <c r="BD103" t="s">
        <v>1208</v>
      </c>
      <c r="BF103" t="s">
        <v>168</v>
      </c>
      <c r="BG103" t="s">
        <v>97</v>
      </c>
      <c r="BI103" t="s">
        <v>219</v>
      </c>
      <c r="BK103" t="s">
        <v>49</v>
      </c>
      <c r="BM103" t="s">
        <v>147</v>
      </c>
      <c r="BN103" t="s">
        <v>99</v>
      </c>
      <c r="BP103" t="s">
        <v>126</v>
      </c>
      <c r="BQ103" t="s">
        <v>127</v>
      </c>
      <c r="BR103" t="s">
        <v>1209</v>
      </c>
    </row>
    <row r="104" spans="1:70" x14ac:dyDescent="0.25">
      <c r="A104">
        <v>102</v>
      </c>
      <c r="B104" t="s">
        <v>1210</v>
      </c>
      <c r="C104" t="s">
        <v>1211</v>
      </c>
      <c r="E104">
        <v>198</v>
      </c>
      <c r="F104" s="1">
        <v>0.49</v>
      </c>
      <c r="G104">
        <v>97.02</v>
      </c>
      <c r="H104">
        <v>97.02</v>
      </c>
      <c r="I104">
        <v>2221</v>
      </c>
      <c r="J104" t="s">
        <v>72</v>
      </c>
      <c r="K104">
        <v>4565</v>
      </c>
      <c r="L104" s="1">
        <v>5.3E-3</v>
      </c>
      <c r="M104">
        <v>5311</v>
      </c>
      <c r="N104" s="1">
        <v>4.7000000000000002E-3</v>
      </c>
      <c r="O104">
        <v>515273.22</v>
      </c>
      <c r="P104" s="1">
        <v>9.2999999999999992E-3</v>
      </c>
      <c r="Q104">
        <v>59170</v>
      </c>
      <c r="R104">
        <v>66310</v>
      </c>
      <c r="S104" s="1">
        <v>0.89229999999999998</v>
      </c>
      <c r="T104">
        <v>3</v>
      </c>
      <c r="U104">
        <v>1830</v>
      </c>
      <c r="Y104" t="s">
        <v>1037</v>
      </c>
      <c r="Z104" t="s">
        <v>175</v>
      </c>
      <c r="AA104" t="s">
        <v>1212</v>
      </c>
      <c r="AB104" s="2">
        <v>41090.907650462963</v>
      </c>
      <c r="AC104" t="s">
        <v>192</v>
      </c>
      <c r="AD104" t="s">
        <v>237</v>
      </c>
      <c r="AE104">
        <v>34461</v>
      </c>
      <c r="AF104" t="s">
        <v>78</v>
      </c>
      <c r="AG104" s="1">
        <v>0.97189999999999999</v>
      </c>
      <c r="AH104" t="s">
        <v>79</v>
      </c>
      <c r="AI104" t="s">
        <v>80</v>
      </c>
      <c r="AK104" s="3">
        <v>42240</v>
      </c>
      <c r="AL104" s="4">
        <v>0.91666666666666663</v>
      </c>
      <c r="AM104" t="s">
        <v>1213</v>
      </c>
      <c r="AN104" t="s">
        <v>82</v>
      </c>
      <c r="AO104" t="s">
        <v>1214</v>
      </c>
      <c r="AP104" t="s">
        <v>1215</v>
      </c>
      <c r="AQ104" t="s">
        <v>85</v>
      </c>
      <c r="AR104" t="s">
        <v>214</v>
      </c>
      <c r="AS104" t="s">
        <v>115</v>
      </c>
      <c r="AT104" t="s">
        <v>116</v>
      </c>
      <c r="AU104" t="s">
        <v>89</v>
      </c>
      <c r="AV104" t="s">
        <v>1216</v>
      </c>
      <c r="AX104" t="s">
        <v>739</v>
      </c>
      <c r="AY104" t="s">
        <v>93</v>
      </c>
      <c r="AZ104" t="s">
        <v>140</v>
      </c>
      <c r="BA104" t="s">
        <v>363</v>
      </c>
      <c r="BC104" t="s">
        <v>689</v>
      </c>
      <c r="BD104" t="s">
        <v>1217</v>
      </c>
      <c r="BF104" t="s">
        <v>124</v>
      </c>
      <c r="BG104" t="s">
        <v>97</v>
      </c>
      <c r="BI104" t="s">
        <v>144</v>
      </c>
      <c r="BK104" t="s">
        <v>66</v>
      </c>
      <c r="BM104" t="s">
        <v>171</v>
      </c>
      <c r="BO104" t="s">
        <v>185</v>
      </c>
      <c r="BP104" t="s">
        <v>126</v>
      </c>
      <c r="BQ104" t="s">
        <v>127</v>
      </c>
      <c r="BR104" t="s">
        <v>1218</v>
      </c>
    </row>
    <row r="105" spans="1:70" x14ac:dyDescent="0.25">
      <c r="A105">
        <v>103</v>
      </c>
      <c r="B105" t="s">
        <v>1219</v>
      </c>
      <c r="C105" t="s">
        <v>1220</v>
      </c>
      <c r="D105">
        <v>888</v>
      </c>
      <c r="E105">
        <v>598</v>
      </c>
      <c r="F105" s="1">
        <v>0.20330000000000001</v>
      </c>
      <c r="G105">
        <v>121.6</v>
      </c>
      <c r="H105">
        <v>121.6</v>
      </c>
      <c r="I105">
        <v>453</v>
      </c>
      <c r="J105" t="s">
        <v>72</v>
      </c>
      <c r="K105">
        <v>4472</v>
      </c>
      <c r="L105" s="1">
        <v>5.1999999999999998E-3</v>
      </c>
      <c r="M105">
        <v>3749</v>
      </c>
      <c r="N105" s="1">
        <v>3.3E-3</v>
      </c>
      <c r="O105">
        <v>455878.40000000002</v>
      </c>
      <c r="P105" s="1">
        <v>8.3000000000000001E-3</v>
      </c>
      <c r="Q105">
        <v>27942</v>
      </c>
      <c r="R105">
        <v>160253</v>
      </c>
      <c r="S105" s="1">
        <v>0.1744</v>
      </c>
      <c r="T105">
        <v>4</v>
      </c>
      <c r="U105">
        <v>1237</v>
      </c>
      <c r="Y105" t="s">
        <v>105</v>
      </c>
      <c r="Z105" t="s">
        <v>74</v>
      </c>
      <c r="AA105" t="s">
        <v>1221</v>
      </c>
      <c r="AB105" s="2">
        <v>41396.507326388892</v>
      </c>
      <c r="AC105" t="s">
        <v>108</v>
      </c>
      <c r="AD105" t="s">
        <v>193</v>
      </c>
      <c r="AE105">
        <v>19211</v>
      </c>
      <c r="AF105" t="s">
        <v>78</v>
      </c>
      <c r="AG105" s="1">
        <v>0.98599999999999999</v>
      </c>
      <c r="AH105" t="s">
        <v>79</v>
      </c>
      <c r="AI105" t="s">
        <v>80</v>
      </c>
      <c r="AK105" s="3">
        <v>42246</v>
      </c>
      <c r="AL105" s="4">
        <v>2.5347222222222221E-3</v>
      </c>
      <c r="AM105" t="s">
        <v>1222</v>
      </c>
      <c r="AN105" t="s">
        <v>194</v>
      </c>
      <c r="AO105" t="s">
        <v>1223</v>
      </c>
      <c r="AP105" t="s">
        <v>1224</v>
      </c>
      <c r="AQ105" t="s">
        <v>85</v>
      </c>
      <c r="AR105" t="s">
        <v>283</v>
      </c>
      <c r="AS105" t="s">
        <v>115</v>
      </c>
      <c r="AT105" t="s">
        <v>88</v>
      </c>
      <c r="AU105" t="s">
        <v>240</v>
      </c>
      <c r="AV105" t="s">
        <v>326</v>
      </c>
      <c r="AW105" t="s">
        <v>91</v>
      </c>
      <c r="AX105" t="s">
        <v>1225</v>
      </c>
      <c r="AY105" t="s">
        <v>326</v>
      </c>
      <c r="AZ105" t="s">
        <v>94</v>
      </c>
      <c r="BC105" t="s">
        <v>217</v>
      </c>
      <c r="BD105" t="s">
        <v>1226</v>
      </c>
      <c r="BE105">
        <v>888</v>
      </c>
      <c r="BF105" t="s">
        <v>168</v>
      </c>
      <c r="BG105" t="s">
        <v>97</v>
      </c>
      <c r="BI105" t="s">
        <v>711</v>
      </c>
      <c r="BK105" t="s">
        <v>49</v>
      </c>
      <c r="BM105" t="s">
        <v>171</v>
      </c>
      <c r="BN105" t="s">
        <v>125</v>
      </c>
      <c r="BQ105" t="s">
        <v>127</v>
      </c>
      <c r="BR105" t="s">
        <v>1227</v>
      </c>
    </row>
    <row r="106" spans="1:70" x14ac:dyDescent="0.25">
      <c r="A106">
        <v>104</v>
      </c>
      <c r="B106" t="s">
        <v>1228</v>
      </c>
      <c r="C106" t="s">
        <v>1229</v>
      </c>
      <c r="E106">
        <v>60</v>
      </c>
      <c r="F106" s="1">
        <v>0.49170000000000003</v>
      </c>
      <c r="G106">
        <v>29.5</v>
      </c>
      <c r="H106">
        <v>29.5</v>
      </c>
      <c r="I106">
        <v>51991</v>
      </c>
      <c r="J106" t="s">
        <v>72</v>
      </c>
      <c r="K106">
        <v>4462</v>
      </c>
      <c r="L106" s="1">
        <v>5.1999999999999998E-3</v>
      </c>
      <c r="M106">
        <v>4916</v>
      </c>
      <c r="N106" s="1">
        <v>4.3E-3</v>
      </c>
      <c r="O106">
        <v>145022</v>
      </c>
      <c r="P106" s="1">
        <v>2.5999999999999999E-3</v>
      </c>
      <c r="Q106">
        <v>87454</v>
      </c>
      <c r="R106">
        <v>258332</v>
      </c>
      <c r="S106" s="1">
        <v>0.33850000000000002</v>
      </c>
      <c r="T106">
        <v>18</v>
      </c>
      <c r="U106">
        <v>16798</v>
      </c>
      <c r="Y106" t="s">
        <v>105</v>
      </c>
      <c r="Z106" t="s">
        <v>175</v>
      </c>
      <c r="AA106" t="s">
        <v>1230</v>
      </c>
      <c r="AB106" s="2">
        <v>42128.857245370367</v>
      </c>
      <c r="AC106" t="s">
        <v>224</v>
      </c>
      <c r="AD106" t="s">
        <v>193</v>
      </c>
      <c r="AE106">
        <v>21598</v>
      </c>
      <c r="AF106" t="s">
        <v>78</v>
      </c>
      <c r="AG106" s="1">
        <v>0.9849</v>
      </c>
      <c r="AH106" t="s">
        <v>79</v>
      </c>
      <c r="AI106" t="s">
        <v>80</v>
      </c>
      <c r="AK106" s="3">
        <v>42244</v>
      </c>
      <c r="AL106" s="4">
        <v>0.86111111111111116</v>
      </c>
      <c r="AM106" t="s">
        <v>1231</v>
      </c>
      <c r="AN106" t="s">
        <v>111</v>
      </c>
      <c r="AO106" t="s">
        <v>1232</v>
      </c>
      <c r="AP106" t="s">
        <v>1233</v>
      </c>
      <c r="AQ106" t="s">
        <v>85</v>
      </c>
      <c r="AR106" t="s">
        <v>214</v>
      </c>
      <c r="AT106" t="s">
        <v>622</v>
      </c>
      <c r="AU106" t="s">
        <v>89</v>
      </c>
      <c r="AV106" t="s">
        <v>1234</v>
      </c>
      <c r="AW106" t="s">
        <v>91</v>
      </c>
      <c r="AX106" t="s">
        <v>1235</v>
      </c>
      <c r="AY106" t="s">
        <v>199</v>
      </c>
      <c r="AZ106" t="s">
        <v>230</v>
      </c>
      <c r="BA106" t="s">
        <v>363</v>
      </c>
      <c r="BC106" t="s">
        <v>242</v>
      </c>
      <c r="BD106" t="s">
        <v>231</v>
      </c>
      <c r="BF106" t="s">
        <v>124</v>
      </c>
      <c r="BG106" t="s">
        <v>97</v>
      </c>
      <c r="BI106" t="s">
        <v>144</v>
      </c>
      <c r="BK106" t="s">
        <v>49</v>
      </c>
      <c r="BM106" t="s">
        <v>98</v>
      </c>
      <c r="BN106" t="s">
        <v>144</v>
      </c>
      <c r="BQ106" t="s">
        <v>127</v>
      </c>
      <c r="BR106" t="s">
        <v>1236</v>
      </c>
    </row>
    <row r="107" spans="1:70" x14ac:dyDescent="0.25">
      <c r="A107">
        <v>105</v>
      </c>
      <c r="B107" t="s">
        <v>1237</v>
      </c>
      <c r="C107" t="s">
        <v>1238</v>
      </c>
      <c r="D107">
        <v>858</v>
      </c>
      <c r="E107">
        <v>118</v>
      </c>
      <c r="F107" s="1">
        <v>0.495</v>
      </c>
      <c r="G107">
        <v>58.41</v>
      </c>
      <c r="H107">
        <v>58.41</v>
      </c>
      <c r="I107">
        <v>35191</v>
      </c>
      <c r="J107" t="s">
        <v>72</v>
      </c>
      <c r="K107">
        <v>4454</v>
      </c>
      <c r="L107" s="1">
        <v>5.1999999999999998E-3</v>
      </c>
      <c r="M107">
        <v>6260</v>
      </c>
      <c r="N107" s="1">
        <v>5.4999999999999997E-3</v>
      </c>
      <c r="O107">
        <v>365646.6</v>
      </c>
      <c r="P107" s="1">
        <v>6.6E-3</v>
      </c>
      <c r="Q107">
        <v>16174</v>
      </c>
      <c r="R107">
        <v>26250</v>
      </c>
      <c r="S107" s="1">
        <v>0.61619999999999997</v>
      </c>
      <c r="T107">
        <v>12</v>
      </c>
      <c r="U107">
        <v>871</v>
      </c>
      <c r="Y107" t="s">
        <v>1037</v>
      </c>
      <c r="Z107" t="s">
        <v>175</v>
      </c>
      <c r="AA107" t="s">
        <v>1239</v>
      </c>
      <c r="AB107" s="2">
        <v>41555.591273148151</v>
      </c>
      <c r="AC107" t="s">
        <v>640</v>
      </c>
      <c r="AD107" t="s">
        <v>358</v>
      </c>
      <c r="AE107">
        <v>1447</v>
      </c>
      <c r="AF107" t="s">
        <v>78</v>
      </c>
      <c r="AG107" s="1">
        <v>0.98460000000000003</v>
      </c>
      <c r="AH107" t="s">
        <v>79</v>
      </c>
      <c r="AI107" t="s">
        <v>80</v>
      </c>
      <c r="AK107" s="3">
        <v>42246</v>
      </c>
      <c r="AL107" s="4">
        <v>0.64619212962962969</v>
      </c>
      <c r="AM107" t="s">
        <v>1240</v>
      </c>
      <c r="AN107" t="s">
        <v>194</v>
      </c>
      <c r="AO107" t="s">
        <v>1241</v>
      </c>
      <c r="AP107" t="s">
        <v>1242</v>
      </c>
      <c r="AQ107" t="s">
        <v>213</v>
      </c>
      <c r="AR107" t="s">
        <v>283</v>
      </c>
      <c r="AS107" t="s">
        <v>115</v>
      </c>
      <c r="AT107" t="s">
        <v>88</v>
      </c>
      <c r="AU107" t="s">
        <v>240</v>
      </c>
      <c r="AV107" t="s">
        <v>1243</v>
      </c>
      <c r="AW107" t="s">
        <v>91</v>
      </c>
      <c r="AX107" t="s">
        <v>1244</v>
      </c>
      <c r="AY107" t="s">
        <v>1245</v>
      </c>
      <c r="AZ107" t="s">
        <v>140</v>
      </c>
      <c r="BA107" t="s">
        <v>121</v>
      </c>
      <c r="BC107" t="s">
        <v>217</v>
      </c>
      <c r="BD107" t="s">
        <v>1246</v>
      </c>
      <c r="BE107">
        <v>858</v>
      </c>
      <c r="BF107" t="s">
        <v>168</v>
      </c>
      <c r="BG107" t="s">
        <v>97</v>
      </c>
      <c r="BI107" t="s">
        <v>219</v>
      </c>
      <c r="BJ107" t="s">
        <v>1247</v>
      </c>
      <c r="BK107" t="s">
        <v>49</v>
      </c>
      <c r="BM107" t="s">
        <v>171</v>
      </c>
      <c r="BN107" t="s">
        <v>184</v>
      </c>
      <c r="BP107" t="s">
        <v>149</v>
      </c>
      <c r="BQ107" t="s">
        <v>100</v>
      </c>
      <c r="BR107" t="s">
        <v>1248</v>
      </c>
    </row>
    <row r="108" spans="1:70" x14ac:dyDescent="0.25">
      <c r="A108">
        <v>106</v>
      </c>
      <c r="B108" t="s">
        <v>1249</v>
      </c>
      <c r="C108" t="s">
        <v>1018</v>
      </c>
      <c r="E108">
        <v>128</v>
      </c>
      <c r="F108" s="1">
        <v>0.218</v>
      </c>
      <c r="G108">
        <v>27.9</v>
      </c>
      <c r="H108">
        <v>27.9</v>
      </c>
      <c r="I108">
        <v>4758</v>
      </c>
      <c r="J108" t="s">
        <v>72</v>
      </c>
      <c r="K108">
        <v>4453</v>
      </c>
      <c r="L108" s="1">
        <v>5.1999999999999998E-3</v>
      </c>
      <c r="M108">
        <v>6685</v>
      </c>
      <c r="N108" s="1">
        <v>5.8999999999999999E-3</v>
      </c>
      <c r="O108">
        <v>186511.5</v>
      </c>
      <c r="P108" s="1">
        <v>3.3999999999999998E-3</v>
      </c>
      <c r="Q108">
        <v>19766</v>
      </c>
      <c r="R108">
        <v>116755</v>
      </c>
      <c r="S108" s="1">
        <v>0.16930000000000001</v>
      </c>
      <c r="T108">
        <v>6</v>
      </c>
      <c r="U108">
        <v>6130</v>
      </c>
      <c r="Y108" t="s">
        <v>466</v>
      </c>
      <c r="Z108" t="s">
        <v>175</v>
      </c>
      <c r="AA108" t="s">
        <v>1250</v>
      </c>
      <c r="AB108" s="2">
        <v>39741.877465277779</v>
      </c>
      <c r="AC108" t="s">
        <v>224</v>
      </c>
      <c r="AD108" t="s">
        <v>358</v>
      </c>
      <c r="AE108">
        <v>7809</v>
      </c>
      <c r="AF108" t="s">
        <v>78</v>
      </c>
      <c r="AG108" s="1">
        <v>0.96760000000000002</v>
      </c>
      <c r="AH108" t="s">
        <v>79</v>
      </c>
      <c r="AI108" t="s">
        <v>80</v>
      </c>
      <c r="AK108" s="3">
        <v>42243</v>
      </c>
      <c r="AL108" s="4">
        <v>0.88773148148148151</v>
      </c>
      <c r="AM108" t="s">
        <v>1251</v>
      </c>
      <c r="AN108" t="s">
        <v>179</v>
      </c>
      <c r="AO108" t="s">
        <v>1252</v>
      </c>
      <c r="AP108" t="s">
        <v>1253</v>
      </c>
      <c r="AQ108" t="s">
        <v>85</v>
      </c>
      <c r="AT108" t="s">
        <v>88</v>
      </c>
      <c r="AV108" t="s">
        <v>1254</v>
      </c>
      <c r="AW108" t="s">
        <v>91</v>
      </c>
      <c r="AX108" t="s">
        <v>645</v>
      </c>
      <c r="AY108" t="s">
        <v>326</v>
      </c>
      <c r="AZ108" t="s">
        <v>230</v>
      </c>
      <c r="BG108" t="s">
        <v>97</v>
      </c>
      <c r="BK108" t="s">
        <v>49</v>
      </c>
      <c r="BM108" t="s">
        <v>171</v>
      </c>
      <c r="BQ108" t="s">
        <v>127</v>
      </c>
      <c r="BR108" t="s">
        <v>1255</v>
      </c>
    </row>
    <row r="109" spans="1:70" x14ac:dyDescent="0.25">
      <c r="A109">
        <v>107</v>
      </c>
      <c r="B109" t="s">
        <v>1256</v>
      </c>
      <c r="C109" t="s">
        <v>1257</v>
      </c>
      <c r="E109">
        <v>35.799999999999997</v>
      </c>
      <c r="F109" s="1">
        <v>1</v>
      </c>
      <c r="G109">
        <v>35.799999999999997</v>
      </c>
      <c r="H109">
        <v>35.799999999999997</v>
      </c>
      <c r="I109">
        <v>3033</v>
      </c>
      <c r="J109" t="s">
        <v>72</v>
      </c>
      <c r="K109">
        <v>4402</v>
      </c>
      <c r="L109" s="1">
        <v>5.1000000000000004E-3</v>
      </c>
      <c r="M109">
        <v>5400</v>
      </c>
      <c r="N109" s="1">
        <v>4.7999999999999996E-3</v>
      </c>
      <c r="O109">
        <v>193320</v>
      </c>
      <c r="P109" s="1">
        <v>3.5000000000000001E-3</v>
      </c>
      <c r="Q109">
        <v>25190</v>
      </c>
      <c r="R109">
        <v>40122</v>
      </c>
      <c r="S109" s="1">
        <v>0.62780000000000002</v>
      </c>
      <c r="T109">
        <v>3</v>
      </c>
      <c r="U109">
        <v>3151</v>
      </c>
      <c r="Y109" t="s">
        <v>105</v>
      </c>
      <c r="Z109" t="s">
        <v>175</v>
      </c>
      <c r="AA109" t="s">
        <v>1258</v>
      </c>
      <c r="AB109" s="2">
        <v>41345.933946759258</v>
      </c>
      <c r="AC109" t="s">
        <v>322</v>
      </c>
      <c r="AD109" t="s">
        <v>237</v>
      </c>
      <c r="AE109">
        <v>1118893</v>
      </c>
      <c r="AF109" t="s">
        <v>78</v>
      </c>
      <c r="AG109" s="1">
        <v>0.9819</v>
      </c>
      <c r="AH109" t="s">
        <v>79</v>
      </c>
      <c r="AI109" t="s">
        <v>80</v>
      </c>
      <c r="AK109" s="3">
        <v>42244</v>
      </c>
      <c r="AL109" s="4">
        <v>0.86414351851851856</v>
      </c>
      <c r="AM109" t="s">
        <v>1259</v>
      </c>
      <c r="AN109" t="s">
        <v>111</v>
      </c>
      <c r="AO109" t="s">
        <v>1260</v>
      </c>
      <c r="AP109" t="s">
        <v>1261</v>
      </c>
      <c r="AQ109" t="s">
        <v>85</v>
      </c>
      <c r="AR109" t="s">
        <v>472</v>
      </c>
      <c r="AV109" t="s">
        <v>834</v>
      </c>
      <c r="AW109" t="s">
        <v>1014</v>
      </c>
      <c r="AX109" t="s">
        <v>942</v>
      </c>
      <c r="AY109" t="s">
        <v>93</v>
      </c>
      <c r="AZ109" t="s">
        <v>140</v>
      </c>
      <c r="BA109" t="s">
        <v>141</v>
      </c>
      <c r="BC109" t="s">
        <v>142</v>
      </c>
      <c r="BD109" t="s">
        <v>1262</v>
      </c>
      <c r="BF109" t="s">
        <v>96</v>
      </c>
      <c r="BG109" t="s">
        <v>97</v>
      </c>
      <c r="BK109" t="s">
        <v>49</v>
      </c>
      <c r="BM109" t="s">
        <v>147</v>
      </c>
      <c r="BN109" t="s">
        <v>184</v>
      </c>
      <c r="BP109" t="s">
        <v>149</v>
      </c>
      <c r="BR109" t="s">
        <v>1263</v>
      </c>
    </row>
    <row r="110" spans="1:70" x14ac:dyDescent="0.25">
      <c r="A110">
        <v>108</v>
      </c>
      <c r="B110" t="s">
        <v>1264</v>
      </c>
      <c r="C110" t="s">
        <v>1265</v>
      </c>
      <c r="D110" t="s">
        <v>1266</v>
      </c>
      <c r="E110">
        <v>256</v>
      </c>
      <c r="F110" s="1">
        <v>0.495</v>
      </c>
      <c r="G110">
        <v>126.72</v>
      </c>
      <c r="H110">
        <v>126.72</v>
      </c>
      <c r="I110">
        <v>374</v>
      </c>
      <c r="J110" t="s">
        <v>72</v>
      </c>
      <c r="K110">
        <v>4380</v>
      </c>
      <c r="L110" s="1">
        <v>5.1000000000000004E-3</v>
      </c>
      <c r="M110">
        <v>6775</v>
      </c>
      <c r="N110" s="1">
        <v>6.0000000000000001E-3</v>
      </c>
      <c r="O110">
        <v>858528</v>
      </c>
      <c r="P110" s="1">
        <v>1.55E-2</v>
      </c>
      <c r="Q110">
        <v>70284</v>
      </c>
      <c r="R110">
        <v>106270</v>
      </c>
      <c r="S110" s="1">
        <v>0.66139999999999999</v>
      </c>
      <c r="T110">
        <v>1</v>
      </c>
      <c r="U110">
        <v>394</v>
      </c>
      <c r="Y110" t="s">
        <v>561</v>
      </c>
      <c r="Z110" t="s">
        <v>74</v>
      </c>
      <c r="AA110" t="s">
        <v>562</v>
      </c>
      <c r="AB110" s="2">
        <v>39248.55945601852</v>
      </c>
      <c r="AC110" t="s">
        <v>322</v>
      </c>
      <c r="AD110" t="s">
        <v>323</v>
      </c>
      <c r="AE110">
        <v>2664091</v>
      </c>
      <c r="AF110" t="s">
        <v>78</v>
      </c>
      <c r="AG110" s="1">
        <v>0.98970000000000002</v>
      </c>
      <c r="AH110" t="s">
        <v>79</v>
      </c>
      <c r="AI110" t="s">
        <v>80</v>
      </c>
      <c r="AK110" s="3">
        <v>42243</v>
      </c>
      <c r="AL110" s="4">
        <v>0.42336805555555551</v>
      </c>
      <c r="AM110" t="s">
        <v>1267</v>
      </c>
      <c r="AN110" t="s">
        <v>179</v>
      </c>
      <c r="AO110" t="s">
        <v>1268</v>
      </c>
      <c r="AP110" t="s">
        <v>1269</v>
      </c>
      <c r="AQ110" t="s">
        <v>213</v>
      </c>
      <c r="AR110" t="s">
        <v>114</v>
      </c>
      <c r="AS110" t="s">
        <v>115</v>
      </c>
      <c r="AT110" t="s">
        <v>116</v>
      </c>
      <c r="AU110" t="s">
        <v>89</v>
      </c>
      <c r="AV110" t="s">
        <v>834</v>
      </c>
      <c r="AW110" t="s">
        <v>91</v>
      </c>
      <c r="AX110" t="s">
        <v>567</v>
      </c>
      <c r="AY110" t="s">
        <v>93</v>
      </c>
      <c r="AZ110" t="s">
        <v>140</v>
      </c>
      <c r="BA110" t="s">
        <v>121</v>
      </c>
      <c r="BC110" t="s">
        <v>144</v>
      </c>
      <c r="BD110" t="s">
        <v>1270</v>
      </c>
      <c r="BE110" t="s">
        <v>1266</v>
      </c>
      <c r="BF110" t="s">
        <v>168</v>
      </c>
      <c r="BG110" t="s">
        <v>97</v>
      </c>
      <c r="BI110" t="s">
        <v>219</v>
      </c>
      <c r="BK110" t="s">
        <v>49</v>
      </c>
      <c r="BM110" t="s">
        <v>147</v>
      </c>
      <c r="BN110" t="s">
        <v>184</v>
      </c>
      <c r="BP110" t="s">
        <v>149</v>
      </c>
      <c r="BQ110" t="s">
        <v>329</v>
      </c>
      <c r="BR110" t="s">
        <v>1271</v>
      </c>
    </row>
    <row r="111" spans="1:70" x14ac:dyDescent="0.25">
      <c r="A111">
        <v>109</v>
      </c>
      <c r="B111" t="s">
        <v>1272</v>
      </c>
      <c r="C111" t="s">
        <v>1273</v>
      </c>
      <c r="D111" t="s">
        <v>1274</v>
      </c>
      <c r="E111">
        <v>356</v>
      </c>
      <c r="F111" s="1">
        <v>0.495</v>
      </c>
      <c r="G111">
        <v>176.22</v>
      </c>
      <c r="H111">
        <v>176.22</v>
      </c>
      <c r="I111">
        <v>10560</v>
      </c>
      <c r="J111" t="s">
        <v>72</v>
      </c>
      <c r="K111">
        <v>4348</v>
      </c>
      <c r="L111" s="1">
        <v>5.1000000000000004E-3</v>
      </c>
      <c r="M111">
        <v>6303</v>
      </c>
      <c r="N111" s="1">
        <v>5.5999999999999999E-3</v>
      </c>
      <c r="O111">
        <v>1110714.6599999999</v>
      </c>
      <c r="P111" s="1">
        <v>2.01E-2</v>
      </c>
      <c r="Q111">
        <v>25108</v>
      </c>
      <c r="R111">
        <v>183704</v>
      </c>
      <c r="S111" s="1">
        <v>0.13669999999999999</v>
      </c>
      <c r="T111">
        <v>11</v>
      </c>
      <c r="U111">
        <v>33</v>
      </c>
      <c r="Y111" t="s">
        <v>1275</v>
      </c>
      <c r="Z111" t="s">
        <v>74</v>
      </c>
      <c r="AA111" t="s">
        <v>1276</v>
      </c>
      <c r="AB111" s="2">
        <v>42001.887719907405</v>
      </c>
      <c r="AC111" t="s">
        <v>76</v>
      </c>
      <c r="AD111" t="s">
        <v>383</v>
      </c>
      <c r="AE111">
        <v>34747</v>
      </c>
      <c r="AF111" t="s">
        <v>78</v>
      </c>
      <c r="AG111" s="1">
        <v>0.99060000000000004</v>
      </c>
      <c r="AH111" t="s">
        <v>79</v>
      </c>
      <c r="AI111" t="s">
        <v>80</v>
      </c>
      <c r="AK111" s="3">
        <v>42240</v>
      </c>
      <c r="AL111" s="4">
        <v>0.38541666666666669</v>
      </c>
      <c r="AM111" s="5">
        <v>0.6286342592592592</v>
      </c>
      <c r="AN111" t="s">
        <v>82</v>
      </c>
      <c r="AO111" t="s">
        <v>1277</v>
      </c>
      <c r="AP111" t="s">
        <v>1278</v>
      </c>
      <c r="AQ111" t="s">
        <v>213</v>
      </c>
      <c r="AR111" t="s">
        <v>283</v>
      </c>
      <c r="AS111" t="s">
        <v>115</v>
      </c>
      <c r="AT111" t="s">
        <v>144</v>
      </c>
      <c r="AU111" t="s">
        <v>89</v>
      </c>
      <c r="AV111" t="s">
        <v>1279</v>
      </c>
      <c r="AX111" t="s">
        <v>1280</v>
      </c>
      <c r="AY111" t="s">
        <v>199</v>
      </c>
      <c r="AZ111" t="s">
        <v>230</v>
      </c>
      <c r="BA111" t="s">
        <v>363</v>
      </c>
      <c r="BC111" t="s">
        <v>242</v>
      </c>
      <c r="BD111" t="s">
        <v>1281</v>
      </c>
      <c r="BE111" t="s">
        <v>1274</v>
      </c>
      <c r="BF111" t="s">
        <v>201</v>
      </c>
      <c r="BG111" t="s">
        <v>97</v>
      </c>
      <c r="BI111" t="s">
        <v>219</v>
      </c>
      <c r="BJ111" t="s">
        <v>1276</v>
      </c>
      <c r="BK111" t="s">
        <v>63</v>
      </c>
      <c r="BL111" t="s">
        <v>592</v>
      </c>
      <c r="BM111" t="s">
        <v>147</v>
      </c>
      <c r="BN111" t="s">
        <v>1282</v>
      </c>
      <c r="BQ111" t="s">
        <v>127</v>
      </c>
      <c r="BR111" t="s">
        <v>1283</v>
      </c>
    </row>
    <row r="112" spans="1:70" x14ac:dyDescent="0.25">
      <c r="A112">
        <v>110</v>
      </c>
      <c r="B112" t="s">
        <v>1284</v>
      </c>
      <c r="C112" t="s">
        <v>1285</v>
      </c>
      <c r="E112">
        <v>199</v>
      </c>
      <c r="F112" s="1">
        <v>0.1764</v>
      </c>
      <c r="G112">
        <v>35.11</v>
      </c>
      <c r="H112">
        <v>35.11</v>
      </c>
      <c r="I112">
        <v>10630</v>
      </c>
      <c r="J112" t="s">
        <v>72</v>
      </c>
      <c r="K112">
        <v>4340</v>
      </c>
      <c r="L112" s="1">
        <v>5.1000000000000004E-3</v>
      </c>
      <c r="M112">
        <v>6812</v>
      </c>
      <c r="N112" s="1">
        <v>6.0000000000000001E-3</v>
      </c>
      <c r="O112">
        <v>239169.32</v>
      </c>
      <c r="P112" s="1">
        <v>4.3E-3</v>
      </c>
      <c r="Q112">
        <v>18448</v>
      </c>
      <c r="R112">
        <v>105590</v>
      </c>
      <c r="S112" s="1">
        <v>0.17469999999999999</v>
      </c>
      <c r="T112">
        <v>45</v>
      </c>
      <c r="U112">
        <v>451</v>
      </c>
      <c r="Y112" t="s">
        <v>672</v>
      </c>
      <c r="Z112" t="s">
        <v>175</v>
      </c>
      <c r="AA112" t="s">
        <v>1286</v>
      </c>
      <c r="AB112" s="2">
        <v>41328.920266203706</v>
      </c>
      <c r="AC112" t="s">
        <v>224</v>
      </c>
      <c r="AD112" t="s">
        <v>77</v>
      </c>
      <c r="AE112">
        <v>23300</v>
      </c>
      <c r="AF112" t="s">
        <v>78</v>
      </c>
      <c r="AG112" s="1">
        <v>0.97489999999999999</v>
      </c>
      <c r="AH112" t="s">
        <v>79</v>
      </c>
      <c r="AI112" t="s">
        <v>80</v>
      </c>
      <c r="AK112" s="3">
        <v>42241</v>
      </c>
      <c r="AL112" s="4">
        <v>0.92768518518518517</v>
      </c>
      <c r="AM112" t="s">
        <v>1287</v>
      </c>
      <c r="AN112" t="s">
        <v>251</v>
      </c>
      <c r="AO112" t="s">
        <v>1288</v>
      </c>
      <c r="AP112" t="s">
        <v>1289</v>
      </c>
      <c r="AQ112" t="s">
        <v>85</v>
      </c>
      <c r="AR112" t="s">
        <v>601</v>
      </c>
      <c r="AS112" t="s">
        <v>87</v>
      </c>
      <c r="AT112" t="s">
        <v>88</v>
      </c>
      <c r="AU112" t="s">
        <v>89</v>
      </c>
      <c r="AV112" t="s">
        <v>1290</v>
      </c>
      <c r="AX112" t="s">
        <v>1291</v>
      </c>
      <c r="AY112" t="s">
        <v>326</v>
      </c>
      <c r="AZ112" t="s">
        <v>230</v>
      </c>
      <c r="BA112" t="s">
        <v>121</v>
      </c>
      <c r="BC112" t="s">
        <v>1292</v>
      </c>
      <c r="BD112" t="s">
        <v>1293</v>
      </c>
      <c r="BF112" t="s">
        <v>201</v>
      </c>
      <c r="BG112" t="s">
        <v>97</v>
      </c>
      <c r="BI112" t="s">
        <v>144</v>
      </c>
      <c r="BK112" t="s">
        <v>63</v>
      </c>
      <c r="BL112" t="s">
        <v>592</v>
      </c>
      <c r="BM112" t="s">
        <v>171</v>
      </c>
      <c r="BN112" t="s">
        <v>184</v>
      </c>
      <c r="BP112" t="s">
        <v>149</v>
      </c>
      <c r="BQ112" t="s">
        <v>127</v>
      </c>
      <c r="BR112" t="s">
        <v>1294</v>
      </c>
    </row>
    <row r="113" spans="1:70" x14ac:dyDescent="0.25">
      <c r="A113">
        <v>111</v>
      </c>
      <c r="B113" t="s">
        <v>1295</v>
      </c>
      <c r="C113" t="s">
        <v>1296</v>
      </c>
      <c r="E113">
        <v>139</v>
      </c>
      <c r="F113" s="1">
        <v>0.34899999999999998</v>
      </c>
      <c r="G113">
        <v>48.51</v>
      </c>
      <c r="H113">
        <v>48.51</v>
      </c>
      <c r="I113">
        <v>47950</v>
      </c>
      <c r="J113" t="s">
        <v>72</v>
      </c>
      <c r="K113">
        <v>4320</v>
      </c>
      <c r="L113" s="1">
        <v>5.0000000000000001E-3</v>
      </c>
      <c r="M113">
        <v>5095</v>
      </c>
      <c r="N113" s="1">
        <v>4.4999999999999997E-3</v>
      </c>
      <c r="O113">
        <v>247158.45</v>
      </c>
      <c r="P113" s="1">
        <v>4.4999999999999997E-3</v>
      </c>
      <c r="Q113">
        <v>8278</v>
      </c>
      <c r="R113">
        <v>21967</v>
      </c>
      <c r="S113" s="1">
        <v>0.37680000000000002</v>
      </c>
      <c r="T113">
        <v>0</v>
      </c>
      <c r="U113">
        <v>1241</v>
      </c>
      <c r="Y113" t="s">
        <v>1275</v>
      </c>
      <c r="Z113" t="s">
        <v>175</v>
      </c>
      <c r="AA113" t="s">
        <v>1297</v>
      </c>
      <c r="AB113" s="2">
        <v>42113.470775462964</v>
      </c>
      <c r="AC113" t="s">
        <v>209</v>
      </c>
      <c r="AD113" t="s">
        <v>109</v>
      </c>
      <c r="AE113">
        <v>904</v>
      </c>
      <c r="AF113" t="s">
        <v>78</v>
      </c>
      <c r="AG113" s="1">
        <v>0.92320000000000002</v>
      </c>
      <c r="AH113" t="s">
        <v>79</v>
      </c>
      <c r="AI113" t="s">
        <v>80</v>
      </c>
      <c r="AK113" s="3">
        <v>42243</v>
      </c>
      <c r="AL113" s="4">
        <v>0.68275462962962974</v>
      </c>
      <c r="AM113" t="s">
        <v>1298</v>
      </c>
      <c r="AN113" t="s">
        <v>179</v>
      </c>
      <c r="AO113" t="s">
        <v>1299</v>
      </c>
      <c r="AP113" t="s">
        <v>1300</v>
      </c>
      <c r="AQ113" t="s">
        <v>213</v>
      </c>
      <c r="AR113" t="s">
        <v>164</v>
      </c>
      <c r="AT113" t="s">
        <v>88</v>
      </c>
      <c r="AU113" t="s">
        <v>89</v>
      </c>
      <c r="AV113" t="s">
        <v>1301</v>
      </c>
      <c r="AX113" t="s">
        <v>1302</v>
      </c>
      <c r="AY113" t="s">
        <v>93</v>
      </c>
      <c r="AZ113" t="s">
        <v>230</v>
      </c>
      <c r="BA113" t="s">
        <v>363</v>
      </c>
      <c r="BC113" t="s">
        <v>144</v>
      </c>
      <c r="BD113" t="s">
        <v>1303</v>
      </c>
      <c r="BF113" t="s">
        <v>168</v>
      </c>
      <c r="BG113" t="s">
        <v>97</v>
      </c>
      <c r="BI113" t="s">
        <v>219</v>
      </c>
      <c r="BK113" t="s">
        <v>63</v>
      </c>
      <c r="BL113" t="s">
        <v>983</v>
      </c>
      <c r="BM113" t="s">
        <v>328</v>
      </c>
      <c r="BN113" t="s">
        <v>99</v>
      </c>
      <c r="BP113" t="s">
        <v>126</v>
      </c>
      <c r="BQ113" t="s">
        <v>127</v>
      </c>
      <c r="BR113" t="s">
        <v>1304</v>
      </c>
    </row>
    <row r="114" spans="1:70" x14ac:dyDescent="0.25">
      <c r="A114">
        <v>112</v>
      </c>
      <c r="B114" t="s">
        <v>1305</v>
      </c>
      <c r="C114" t="s">
        <v>1306</v>
      </c>
      <c r="E114">
        <v>317</v>
      </c>
      <c r="F114" s="1">
        <v>0.18609999999999999</v>
      </c>
      <c r="G114">
        <v>59</v>
      </c>
      <c r="H114">
        <v>59</v>
      </c>
      <c r="I114">
        <v>4050</v>
      </c>
      <c r="J114" t="s">
        <v>72</v>
      </c>
      <c r="K114">
        <v>4284</v>
      </c>
      <c r="L114" s="1">
        <v>5.0000000000000001E-3</v>
      </c>
      <c r="M114">
        <v>5021</v>
      </c>
      <c r="N114" s="1">
        <v>4.4000000000000003E-3</v>
      </c>
      <c r="O114">
        <v>296239</v>
      </c>
      <c r="P114" s="1">
        <v>5.4000000000000003E-3</v>
      </c>
      <c r="Q114">
        <v>48974</v>
      </c>
      <c r="R114">
        <v>25336</v>
      </c>
      <c r="S114" s="1">
        <v>1.9330000000000001</v>
      </c>
      <c r="T114">
        <v>4</v>
      </c>
      <c r="U114">
        <v>1620</v>
      </c>
      <c r="Y114" t="s">
        <v>425</v>
      </c>
      <c r="Z114" t="s">
        <v>175</v>
      </c>
      <c r="AA114" t="s">
        <v>1307</v>
      </c>
      <c r="AB114" s="2">
        <v>41861.717407407406</v>
      </c>
      <c r="AC114" t="s">
        <v>407</v>
      </c>
      <c r="AD114" t="s">
        <v>237</v>
      </c>
      <c r="AE114">
        <v>9612</v>
      </c>
      <c r="AF114" t="s">
        <v>78</v>
      </c>
      <c r="AG114" s="1">
        <v>0.95589999999999997</v>
      </c>
      <c r="AH114" t="s">
        <v>79</v>
      </c>
      <c r="AI114" t="s">
        <v>80</v>
      </c>
      <c r="AK114" s="3">
        <v>42239</v>
      </c>
      <c r="AL114" s="4">
        <v>0.85069444444444453</v>
      </c>
      <c r="AM114" s="5">
        <v>9.3912037037037044E-2</v>
      </c>
      <c r="AN114" t="s">
        <v>194</v>
      </c>
      <c r="AO114" t="s">
        <v>1308</v>
      </c>
      <c r="AP114" t="s">
        <v>1309</v>
      </c>
      <c r="AQ114" t="s">
        <v>85</v>
      </c>
      <c r="AR114" t="s">
        <v>283</v>
      </c>
      <c r="AS114" t="s">
        <v>115</v>
      </c>
      <c r="AT114" t="s">
        <v>88</v>
      </c>
      <c r="AU114" t="s">
        <v>89</v>
      </c>
      <c r="AV114" t="s">
        <v>1310</v>
      </c>
      <c r="AX114" t="s">
        <v>645</v>
      </c>
      <c r="AY114" t="s">
        <v>144</v>
      </c>
      <c r="AZ114" t="s">
        <v>140</v>
      </c>
      <c r="BA114" t="s">
        <v>1311</v>
      </c>
      <c r="BC114" t="s">
        <v>313</v>
      </c>
      <c r="BD114" t="s">
        <v>514</v>
      </c>
      <c r="BF114" t="s">
        <v>201</v>
      </c>
      <c r="BG114" t="s">
        <v>97</v>
      </c>
      <c r="BK114" t="s">
        <v>66</v>
      </c>
      <c r="BM114" t="s">
        <v>147</v>
      </c>
      <c r="BN114" t="s">
        <v>144</v>
      </c>
      <c r="BO114" t="s">
        <v>185</v>
      </c>
      <c r="BQ114" t="s">
        <v>127</v>
      </c>
      <c r="BR114" t="s">
        <v>1312</v>
      </c>
    </row>
    <row r="115" spans="1:70" x14ac:dyDescent="0.25">
      <c r="A115">
        <v>113</v>
      </c>
      <c r="B115" t="s">
        <v>1313</v>
      </c>
      <c r="C115" t="s">
        <v>1314</v>
      </c>
      <c r="E115">
        <v>108</v>
      </c>
      <c r="F115" s="1">
        <v>0.41670000000000001</v>
      </c>
      <c r="G115">
        <v>45</v>
      </c>
      <c r="H115">
        <v>45</v>
      </c>
      <c r="I115">
        <v>22702</v>
      </c>
      <c r="J115" t="s">
        <v>72</v>
      </c>
      <c r="K115">
        <v>4245</v>
      </c>
      <c r="L115" s="1">
        <v>5.0000000000000001E-3</v>
      </c>
      <c r="M115">
        <v>4876</v>
      </c>
      <c r="N115" s="1">
        <v>4.3E-3</v>
      </c>
      <c r="O115">
        <v>219420</v>
      </c>
      <c r="P115" s="1">
        <v>4.0000000000000001E-3</v>
      </c>
      <c r="Q115">
        <v>28018</v>
      </c>
      <c r="R115">
        <v>59328</v>
      </c>
      <c r="S115" s="1">
        <v>0.4723</v>
      </c>
      <c r="T115">
        <v>1</v>
      </c>
      <c r="U115">
        <v>2460</v>
      </c>
      <c r="Y115" t="s">
        <v>105</v>
      </c>
      <c r="Z115" t="s">
        <v>175</v>
      </c>
      <c r="AA115" t="s">
        <v>1315</v>
      </c>
      <c r="AB115" s="2">
        <v>41183.121516203704</v>
      </c>
      <c r="AC115" t="s">
        <v>76</v>
      </c>
      <c r="AD115" t="s">
        <v>237</v>
      </c>
      <c r="AE115">
        <v>5254</v>
      </c>
      <c r="AF115" t="s">
        <v>78</v>
      </c>
      <c r="AG115" s="1">
        <v>0.97619999999999996</v>
      </c>
      <c r="AH115" t="s">
        <v>79</v>
      </c>
      <c r="AI115" t="s">
        <v>80</v>
      </c>
      <c r="AK115" s="3">
        <v>42240</v>
      </c>
      <c r="AL115" s="4">
        <v>0.96875</v>
      </c>
      <c r="AM115" t="s">
        <v>1316</v>
      </c>
      <c r="AN115" t="s">
        <v>82</v>
      </c>
      <c r="AO115" t="s">
        <v>1317</v>
      </c>
      <c r="AP115" t="s">
        <v>1318</v>
      </c>
      <c r="AQ115" t="s">
        <v>213</v>
      </c>
      <c r="AS115" t="s">
        <v>115</v>
      </c>
      <c r="AT115" t="s">
        <v>622</v>
      </c>
      <c r="AU115" t="s">
        <v>89</v>
      </c>
      <c r="AV115" t="s">
        <v>1319</v>
      </c>
      <c r="AX115" t="s">
        <v>287</v>
      </c>
      <c r="AY115" t="s">
        <v>93</v>
      </c>
      <c r="AZ115" t="s">
        <v>94</v>
      </c>
      <c r="BF115" t="s">
        <v>124</v>
      </c>
      <c r="BG115" t="s">
        <v>97</v>
      </c>
      <c r="BI115" t="s">
        <v>219</v>
      </c>
      <c r="BK115" t="s">
        <v>49</v>
      </c>
      <c r="BM115" t="s">
        <v>98</v>
      </c>
      <c r="BQ115" t="s">
        <v>100</v>
      </c>
      <c r="BR115" t="s">
        <v>1320</v>
      </c>
    </row>
    <row r="116" spans="1:70" x14ac:dyDescent="0.25">
      <c r="A116">
        <v>114</v>
      </c>
      <c r="B116" t="s">
        <v>1321</v>
      </c>
      <c r="C116" t="s">
        <v>1322</v>
      </c>
      <c r="D116" t="s">
        <v>1323</v>
      </c>
      <c r="E116">
        <v>399</v>
      </c>
      <c r="F116" s="1">
        <v>0.28570000000000001</v>
      </c>
      <c r="G116">
        <v>114</v>
      </c>
      <c r="H116">
        <v>114</v>
      </c>
      <c r="I116">
        <v>8156</v>
      </c>
      <c r="J116" t="s">
        <v>72</v>
      </c>
      <c r="K116">
        <v>4230</v>
      </c>
      <c r="L116" s="1">
        <v>4.8999999999999998E-3</v>
      </c>
      <c r="M116">
        <v>5465</v>
      </c>
      <c r="N116" s="1">
        <v>4.7999999999999996E-3</v>
      </c>
      <c r="O116">
        <v>623010</v>
      </c>
      <c r="P116" s="1">
        <v>1.1299999999999999E-2</v>
      </c>
      <c r="Q116">
        <v>131398</v>
      </c>
      <c r="R116" t="s">
        <v>154</v>
      </c>
      <c r="S116" t="s">
        <v>154</v>
      </c>
      <c r="T116">
        <v>128</v>
      </c>
      <c r="U116">
        <v>12712</v>
      </c>
      <c r="Z116" t="s">
        <v>74</v>
      </c>
      <c r="AA116" t="s">
        <v>1324</v>
      </c>
      <c r="AB116" s="2">
        <v>41920.621006944442</v>
      </c>
      <c r="AC116" t="s">
        <v>76</v>
      </c>
      <c r="AD116" t="s">
        <v>1325</v>
      </c>
      <c r="AE116">
        <v>31368</v>
      </c>
      <c r="AF116" t="s">
        <v>159</v>
      </c>
      <c r="AG116" s="1">
        <v>1</v>
      </c>
      <c r="AH116" t="s">
        <v>79</v>
      </c>
      <c r="AI116" t="s">
        <v>80</v>
      </c>
      <c r="AK116" s="3">
        <v>42241</v>
      </c>
      <c r="AL116" s="4">
        <v>0.87520833333333325</v>
      </c>
      <c r="AM116" t="s">
        <v>1326</v>
      </c>
      <c r="AN116" t="s">
        <v>251</v>
      </c>
      <c r="AO116" t="s">
        <v>1327</v>
      </c>
      <c r="AP116" t="s">
        <v>1328</v>
      </c>
      <c r="AQ116" t="s">
        <v>85</v>
      </c>
      <c r="AS116" t="s">
        <v>115</v>
      </c>
      <c r="AT116" t="s">
        <v>88</v>
      </c>
      <c r="AU116" t="s">
        <v>89</v>
      </c>
      <c r="AV116" t="s">
        <v>1329</v>
      </c>
      <c r="AW116" t="s">
        <v>91</v>
      </c>
      <c r="AX116" t="s">
        <v>399</v>
      </c>
      <c r="AY116" t="s">
        <v>93</v>
      </c>
      <c r="AZ116" t="s">
        <v>140</v>
      </c>
      <c r="BA116" t="s">
        <v>141</v>
      </c>
      <c r="BB116" t="s">
        <v>269</v>
      </c>
      <c r="BC116" t="s">
        <v>242</v>
      </c>
      <c r="BD116" t="s">
        <v>1330</v>
      </c>
      <c r="BE116" t="s">
        <v>1323</v>
      </c>
      <c r="BF116" t="s">
        <v>168</v>
      </c>
      <c r="BG116" t="s">
        <v>97</v>
      </c>
      <c r="BI116" t="s">
        <v>219</v>
      </c>
      <c r="BJ116" t="s">
        <v>1331</v>
      </c>
      <c r="BK116" t="s">
        <v>49</v>
      </c>
      <c r="BM116" t="s">
        <v>98</v>
      </c>
      <c r="BP116" t="s">
        <v>126</v>
      </c>
      <c r="BQ116" t="s">
        <v>127</v>
      </c>
      <c r="BR116" t="s">
        <v>1332</v>
      </c>
    </row>
    <row r="117" spans="1:70" x14ac:dyDescent="0.25">
      <c r="A117">
        <v>115</v>
      </c>
      <c r="B117" t="s">
        <v>1333</v>
      </c>
      <c r="C117" t="s">
        <v>1334</v>
      </c>
      <c r="E117">
        <v>238</v>
      </c>
      <c r="F117" s="1">
        <v>0.69179999999999997</v>
      </c>
      <c r="G117">
        <v>164.64</v>
      </c>
      <c r="H117">
        <v>164.64</v>
      </c>
      <c r="I117">
        <v>245076</v>
      </c>
      <c r="J117" t="s">
        <v>72</v>
      </c>
      <c r="K117">
        <v>4213</v>
      </c>
      <c r="L117" s="1">
        <v>4.8999999999999998E-3</v>
      </c>
      <c r="M117">
        <v>4404</v>
      </c>
      <c r="N117" s="1">
        <v>3.8999999999999998E-3</v>
      </c>
      <c r="O117">
        <v>725074.56</v>
      </c>
      <c r="P117" s="1">
        <v>1.3100000000000001E-2</v>
      </c>
      <c r="Q117">
        <v>49052</v>
      </c>
      <c r="R117">
        <v>274568</v>
      </c>
      <c r="S117" s="1">
        <v>0.1787</v>
      </c>
      <c r="T117">
        <v>11</v>
      </c>
      <c r="U117">
        <v>2983</v>
      </c>
      <c r="Y117" t="s">
        <v>381</v>
      </c>
      <c r="Z117" t="s">
        <v>74</v>
      </c>
      <c r="AA117" t="s">
        <v>1335</v>
      </c>
      <c r="AB117" s="2">
        <v>40476.155740740738</v>
      </c>
      <c r="AC117" t="s">
        <v>76</v>
      </c>
      <c r="AD117" t="s">
        <v>383</v>
      </c>
      <c r="AE117">
        <v>35241</v>
      </c>
      <c r="AF117" t="s">
        <v>78</v>
      </c>
      <c r="AG117" s="1">
        <v>0.98860000000000003</v>
      </c>
      <c r="AH117" t="s">
        <v>79</v>
      </c>
      <c r="AI117" t="s">
        <v>80</v>
      </c>
      <c r="AK117" s="3">
        <v>42239</v>
      </c>
      <c r="AL117" s="4">
        <v>0.7587962962962963</v>
      </c>
      <c r="AM117" t="s">
        <v>1336</v>
      </c>
      <c r="AN117" t="s">
        <v>194</v>
      </c>
      <c r="AO117" t="s">
        <v>1337</v>
      </c>
      <c r="AP117" t="s">
        <v>1338</v>
      </c>
      <c r="AQ117" t="s">
        <v>213</v>
      </c>
      <c r="AR117" t="s">
        <v>601</v>
      </c>
      <c r="AS117" t="s">
        <v>115</v>
      </c>
      <c r="AT117" t="s">
        <v>88</v>
      </c>
      <c r="AU117" t="s">
        <v>240</v>
      </c>
      <c r="AV117" t="s">
        <v>1339</v>
      </c>
      <c r="AX117" t="s">
        <v>92</v>
      </c>
      <c r="AY117" t="s">
        <v>326</v>
      </c>
      <c r="AZ117" t="s">
        <v>140</v>
      </c>
      <c r="BA117" t="s">
        <v>121</v>
      </c>
      <c r="BC117" t="s">
        <v>339</v>
      </c>
      <c r="BD117" t="s">
        <v>1226</v>
      </c>
      <c r="BF117" t="s">
        <v>124</v>
      </c>
      <c r="BG117" t="s">
        <v>97</v>
      </c>
      <c r="BI117" t="s">
        <v>219</v>
      </c>
      <c r="BK117" t="s">
        <v>63</v>
      </c>
      <c r="BL117" t="s">
        <v>245</v>
      </c>
      <c r="BM117" t="s">
        <v>171</v>
      </c>
      <c r="BQ117" t="s">
        <v>100</v>
      </c>
      <c r="BR117" t="s">
        <v>1340</v>
      </c>
    </row>
    <row r="118" spans="1:70" x14ac:dyDescent="0.25">
      <c r="A118">
        <v>116</v>
      </c>
      <c r="B118" t="s">
        <v>1341</v>
      </c>
      <c r="C118" t="s">
        <v>1342</v>
      </c>
      <c r="D118" t="s">
        <v>1343</v>
      </c>
      <c r="E118">
        <v>24.98</v>
      </c>
      <c r="F118" s="1">
        <v>0.91190000000000004</v>
      </c>
      <c r="G118">
        <v>22.78</v>
      </c>
      <c r="H118">
        <v>22.78</v>
      </c>
      <c r="I118">
        <v>33994</v>
      </c>
      <c r="J118" t="s">
        <v>72</v>
      </c>
      <c r="K118">
        <v>4211</v>
      </c>
      <c r="L118" s="1">
        <v>4.8999999999999998E-3</v>
      </c>
      <c r="M118">
        <v>4965</v>
      </c>
      <c r="N118" s="1">
        <v>4.4000000000000003E-3</v>
      </c>
      <c r="O118">
        <v>113102.7</v>
      </c>
      <c r="P118" s="1">
        <v>2E-3</v>
      </c>
      <c r="Q118">
        <v>14398</v>
      </c>
      <c r="R118">
        <v>18784</v>
      </c>
      <c r="S118" s="1">
        <v>0.76649999999999996</v>
      </c>
      <c r="T118">
        <v>0</v>
      </c>
      <c r="U118">
        <v>1109</v>
      </c>
      <c r="Y118" t="s">
        <v>105</v>
      </c>
      <c r="Z118" t="s">
        <v>175</v>
      </c>
      <c r="AA118" t="s">
        <v>1344</v>
      </c>
      <c r="AB118" s="2">
        <v>41169.94394675926</v>
      </c>
      <c r="AC118" t="s">
        <v>468</v>
      </c>
      <c r="AD118" t="s">
        <v>307</v>
      </c>
      <c r="AE118">
        <v>2155320</v>
      </c>
      <c r="AF118" t="s">
        <v>78</v>
      </c>
      <c r="AG118" s="1">
        <v>0.97450000000000003</v>
      </c>
      <c r="AH118" t="s">
        <v>79</v>
      </c>
      <c r="AI118" t="s">
        <v>80</v>
      </c>
      <c r="AK118" s="3">
        <v>42243</v>
      </c>
      <c r="AL118" s="4">
        <v>0.83416666666666661</v>
      </c>
      <c r="AM118" t="s">
        <v>1345</v>
      </c>
      <c r="AN118" t="s">
        <v>179</v>
      </c>
      <c r="AO118" t="s">
        <v>1346</v>
      </c>
      <c r="AP118" t="s">
        <v>1347</v>
      </c>
      <c r="AQ118" t="s">
        <v>85</v>
      </c>
      <c r="AR118" t="s">
        <v>472</v>
      </c>
      <c r="AS118" t="s">
        <v>115</v>
      </c>
      <c r="AT118" t="s">
        <v>88</v>
      </c>
      <c r="AU118" t="s">
        <v>89</v>
      </c>
      <c r="AV118" t="s">
        <v>1198</v>
      </c>
      <c r="AW118" t="s">
        <v>91</v>
      </c>
      <c r="AX118" t="s">
        <v>645</v>
      </c>
      <c r="AY118" t="s">
        <v>513</v>
      </c>
      <c r="AZ118" t="s">
        <v>120</v>
      </c>
      <c r="BC118" t="s">
        <v>144</v>
      </c>
      <c r="BD118" t="s">
        <v>243</v>
      </c>
      <c r="BE118" t="s">
        <v>1343</v>
      </c>
      <c r="BF118" t="s">
        <v>168</v>
      </c>
      <c r="BG118" t="s">
        <v>97</v>
      </c>
      <c r="BK118" t="s">
        <v>49</v>
      </c>
      <c r="BM118" t="s">
        <v>147</v>
      </c>
      <c r="BP118" t="s">
        <v>149</v>
      </c>
      <c r="BQ118" t="s">
        <v>127</v>
      </c>
      <c r="BR118" t="s">
        <v>1348</v>
      </c>
    </row>
    <row r="119" spans="1:70" x14ac:dyDescent="0.25">
      <c r="A119">
        <v>117</v>
      </c>
      <c r="B119" t="s">
        <v>1349</v>
      </c>
      <c r="C119" t="s">
        <v>550</v>
      </c>
      <c r="D119">
        <v>3552</v>
      </c>
      <c r="E119">
        <v>208</v>
      </c>
      <c r="F119" s="1">
        <v>0.1192</v>
      </c>
      <c r="G119">
        <v>24.8</v>
      </c>
      <c r="H119">
        <v>24.8</v>
      </c>
      <c r="I119">
        <v>22979</v>
      </c>
      <c r="J119" t="s">
        <v>72</v>
      </c>
      <c r="K119">
        <v>4199</v>
      </c>
      <c r="L119" s="1">
        <v>4.8999999999999998E-3</v>
      </c>
      <c r="M119">
        <v>4802</v>
      </c>
      <c r="N119" s="1">
        <v>4.1999999999999997E-3</v>
      </c>
      <c r="O119">
        <v>119089.60000000001</v>
      </c>
      <c r="P119" s="1">
        <v>2.2000000000000001E-3</v>
      </c>
      <c r="Q119">
        <v>55570</v>
      </c>
      <c r="R119" t="s">
        <v>154</v>
      </c>
      <c r="S119" t="s">
        <v>154</v>
      </c>
      <c r="T119">
        <v>3</v>
      </c>
      <c r="U119">
        <v>10479</v>
      </c>
      <c r="W119" t="s">
        <v>849</v>
      </c>
      <c r="Z119" t="s">
        <v>175</v>
      </c>
      <c r="AA119" t="s">
        <v>850</v>
      </c>
      <c r="AB119" s="2">
        <v>41887.707673611112</v>
      </c>
      <c r="AC119" t="s">
        <v>224</v>
      </c>
      <c r="AD119" t="s">
        <v>851</v>
      </c>
      <c r="AE119">
        <v>9395</v>
      </c>
      <c r="AF119" t="s">
        <v>159</v>
      </c>
      <c r="AG119" s="1">
        <v>1</v>
      </c>
      <c r="AH119" t="s">
        <v>79</v>
      </c>
      <c r="AI119" t="s">
        <v>80</v>
      </c>
      <c r="AK119" s="3">
        <v>42244</v>
      </c>
      <c r="AL119" s="4">
        <v>0.38732638888888887</v>
      </c>
      <c r="AM119" t="s">
        <v>1350</v>
      </c>
      <c r="AN119" t="s">
        <v>111</v>
      </c>
      <c r="AO119" t="s">
        <v>1351</v>
      </c>
      <c r="AP119" t="s">
        <v>1352</v>
      </c>
      <c r="AQ119" t="s">
        <v>85</v>
      </c>
      <c r="AS119" t="s">
        <v>87</v>
      </c>
      <c r="AT119" t="s">
        <v>144</v>
      </c>
      <c r="AU119" t="s">
        <v>144</v>
      </c>
      <c r="AV119" t="s">
        <v>555</v>
      </c>
      <c r="AX119" t="s">
        <v>739</v>
      </c>
      <c r="AY119" t="s">
        <v>144</v>
      </c>
      <c r="AZ119" t="s">
        <v>140</v>
      </c>
      <c r="BA119" t="s">
        <v>141</v>
      </c>
      <c r="BC119" t="s">
        <v>144</v>
      </c>
      <c r="BD119" t="s">
        <v>143</v>
      </c>
      <c r="BE119">
        <v>3552</v>
      </c>
      <c r="BF119" t="s">
        <v>144</v>
      </c>
      <c r="BG119" t="s">
        <v>97</v>
      </c>
      <c r="BI119" t="s">
        <v>144</v>
      </c>
      <c r="BJ119" t="s">
        <v>859</v>
      </c>
      <c r="BK119" t="s">
        <v>63</v>
      </c>
      <c r="BL119" t="s">
        <v>983</v>
      </c>
      <c r="BM119" t="s">
        <v>147</v>
      </c>
      <c r="BP119" t="s">
        <v>149</v>
      </c>
      <c r="BQ119" t="s">
        <v>127</v>
      </c>
      <c r="BR119" t="s">
        <v>1353</v>
      </c>
    </row>
    <row r="120" spans="1:70" x14ac:dyDescent="0.25">
      <c r="A120">
        <v>118</v>
      </c>
      <c r="B120" t="s">
        <v>1354</v>
      </c>
      <c r="C120" t="s">
        <v>1355</v>
      </c>
      <c r="E120">
        <v>118</v>
      </c>
      <c r="F120" s="1">
        <v>0.32200000000000001</v>
      </c>
      <c r="G120">
        <v>38</v>
      </c>
      <c r="H120">
        <v>38</v>
      </c>
      <c r="I120">
        <v>6882</v>
      </c>
      <c r="J120" t="s">
        <v>72</v>
      </c>
      <c r="K120">
        <v>4179</v>
      </c>
      <c r="L120" s="1">
        <v>4.8999999999999998E-3</v>
      </c>
      <c r="M120">
        <v>4702</v>
      </c>
      <c r="N120" s="1">
        <v>4.1000000000000003E-3</v>
      </c>
      <c r="O120">
        <v>178676</v>
      </c>
      <c r="P120" s="1">
        <v>3.2000000000000002E-3</v>
      </c>
      <c r="Q120">
        <v>26098</v>
      </c>
      <c r="R120">
        <v>154966</v>
      </c>
      <c r="S120" s="1">
        <v>0.16839999999999999</v>
      </c>
      <c r="T120">
        <v>16</v>
      </c>
      <c r="U120">
        <v>3091</v>
      </c>
      <c r="Y120" t="s">
        <v>131</v>
      </c>
      <c r="Z120" t="s">
        <v>175</v>
      </c>
      <c r="AA120" t="s">
        <v>235</v>
      </c>
      <c r="AB120" s="2">
        <v>41112.482210648152</v>
      </c>
      <c r="AC120" t="s">
        <v>236</v>
      </c>
      <c r="AD120" t="s">
        <v>237</v>
      </c>
      <c r="AE120">
        <v>139674</v>
      </c>
      <c r="AF120" t="s">
        <v>78</v>
      </c>
      <c r="AG120" s="1">
        <v>0.9849</v>
      </c>
      <c r="AH120" t="s">
        <v>79</v>
      </c>
      <c r="AI120" t="s">
        <v>80</v>
      </c>
      <c r="AK120" s="3">
        <v>42245</v>
      </c>
      <c r="AL120" s="4">
        <v>0.91005787037037045</v>
      </c>
      <c r="AM120" t="s">
        <v>1356</v>
      </c>
      <c r="AN120" t="s">
        <v>161</v>
      </c>
      <c r="AO120" t="s">
        <v>1357</v>
      </c>
      <c r="AP120" t="s">
        <v>1358</v>
      </c>
      <c r="AQ120" t="s">
        <v>213</v>
      </c>
      <c r="AT120" t="s">
        <v>88</v>
      </c>
      <c r="AU120" t="s">
        <v>144</v>
      </c>
      <c r="AV120" t="s">
        <v>1359</v>
      </c>
      <c r="AX120" t="s">
        <v>92</v>
      </c>
      <c r="AY120" t="s">
        <v>326</v>
      </c>
      <c r="AZ120" t="s">
        <v>140</v>
      </c>
      <c r="BA120" t="s">
        <v>121</v>
      </c>
      <c r="BC120" t="s">
        <v>144</v>
      </c>
      <c r="BD120" t="s">
        <v>243</v>
      </c>
      <c r="BF120" t="s">
        <v>144</v>
      </c>
      <c r="BG120" t="s">
        <v>97</v>
      </c>
      <c r="BI120" t="s">
        <v>219</v>
      </c>
      <c r="BJ120" t="s">
        <v>244</v>
      </c>
      <c r="BK120" t="s">
        <v>49</v>
      </c>
      <c r="BM120" t="s">
        <v>98</v>
      </c>
      <c r="BQ120" t="s">
        <v>100</v>
      </c>
      <c r="BR120" t="s">
        <v>1360</v>
      </c>
    </row>
    <row r="121" spans="1:70" x14ac:dyDescent="0.25">
      <c r="A121">
        <v>119</v>
      </c>
      <c r="B121" t="s">
        <v>1361</v>
      </c>
      <c r="C121" t="s">
        <v>1362</v>
      </c>
      <c r="D121">
        <v>24234</v>
      </c>
      <c r="E121">
        <v>423</v>
      </c>
      <c r="F121" s="1">
        <v>0.11119999999999999</v>
      </c>
      <c r="G121">
        <v>47.04</v>
      </c>
      <c r="H121">
        <v>47.04</v>
      </c>
      <c r="I121">
        <v>18663</v>
      </c>
      <c r="J121" t="s">
        <v>72</v>
      </c>
      <c r="K121">
        <v>4160</v>
      </c>
      <c r="L121" s="1">
        <v>4.8999999999999998E-3</v>
      </c>
      <c r="M121">
        <v>4619</v>
      </c>
      <c r="N121" s="1">
        <v>4.1000000000000003E-3</v>
      </c>
      <c r="O121">
        <v>217277.76</v>
      </c>
      <c r="P121" s="1">
        <v>3.8999999999999998E-3</v>
      </c>
      <c r="Q121">
        <v>43148</v>
      </c>
      <c r="R121">
        <v>70443</v>
      </c>
      <c r="S121" s="1">
        <v>0.61250000000000004</v>
      </c>
      <c r="T121">
        <v>3</v>
      </c>
      <c r="U121">
        <v>3197</v>
      </c>
      <c r="Y121" t="s">
        <v>1084</v>
      </c>
      <c r="Z121" t="s">
        <v>175</v>
      </c>
      <c r="AA121" t="s">
        <v>1363</v>
      </c>
      <c r="AB121" s="2">
        <v>42067.527662037035</v>
      </c>
      <c r="AC121" t="s">
        <v>108</v>
      </c>
      <c r="AD121" t="s">
        <v>193</v>
      </c>
      <c r="AE121">
        <v>2280</v>
      </c>
      <c r="AF121" t="s">
        <v>78</v>
      </c>
      <c r="AG121" s="1">
        <v>0.98740000000000006</v>
      </c>
      <c r="AH121" t="s">
        <v>79</v>
      </c>
      <c r="AI121" t="s">
        <v>80</v>
      </c>
      <c r="AK121" s="3">
        <v>42245</v>
      </c>
      <c r="AL121" s="4">
        <v>0.9375</v>
      </c>
      <c r="AM121" t="s">
        <v>1364</v>
      </c>
      <c r="AN121" t="s">
        <v>161</v>
      </c>
      <c r="AO121" t="s">
        <v>1365</v>
      </c>
      <c r="AP121" t="s">
        <v>1366</v>
      </c>
      <c r="AQ121" t="s">
        <v>85</v>
      </c>
      <c r="AR121" t="s">
        <v>214</v>
      </c>
      <c r="AT121" t="s">
        <v>1367</v>
      </c>
      <c r="AU121" t="s">
        <v>89</v>
      </c>
      <c r="AV121" t="s">
        <v>227</v>
      </c>
      <c r="AW121" t="s">
        <v>91</v>
      </c>
      <c r="AX121" t="s">
        <v>92</v>
      </c>
      <c r="AY121" t="s">
        <v>326</v>
      </c>
      <c r="AZ121" t="s">
        <v>230</v>
      </c>
      <c r="BA121" t="s">
        <v>1311</v>
      </c>
      <c r="BC121" t="s">
        <v>242</v>
      </c>
      <c r="BD121" t="s">
        <v>614</v>
      </c>
      <c r="BE121">
        <v>24234</v>
      </c>
      <c r="BF121" t="s">
        <v>201</v>
      </c>
      <c r="BG121" t="s">
        <v>97</v>
      </c>
      <c r="BI121" t="s">
        <v>219</v>
      </c>
      <c r="BK121" t="s">
        <v>49</v>
      </c>
      <c r="BM121" t="s">
        <v>98</v>
      </c>
      <c r="BN121" t="s">
        <v>184</v>
      </c>
      <c r="BQ121" t="s">
        <v>127</v>
      </c>
      <c r="BR121" t="s">
        <v>1368</v>
      </c>
    </row>
    <row r="122" spans="1:70" x14ac:dyDescent="0.25">
      <c r="A122">
        <v>120</v>
      </c>
      <c r="B122" t="s">
        <v>1369</v>
      </c>
      <c r="C122" t="s">
        <v>1370</v>
      </c>
      <c r="E122">
        <v>336</v>
      </c>
      <c r="F122" s="1">
        <v>0.46500000000000002</v>
      </c>
      <c r="G122">
        <v>156.24</v>
      </c>
      <c r="H122">
        <v>156.24</v>
      </c>
      <c r="I122">
        <v>1095</v>
      </c>
      <c r="J122" t="s">
        <v>72</v>
      </c>
      <c r="K122">
        <v>4125</v>
      </c>
      <c r="L122" s="1">
        <v>4.7999999999999996E-3</v>
      </c>
      <c r="M122">
        <v>4498</v>
      </c>
      <c r="N122" s="1">
        <v>4.0000000000000001E-3</v>
      </c>
      <c r="O122">
        <v>702767.52</v>
      </c>
      <c r="P122" s="1">
        <v>1.2699999999999999E-2</v>
      </c>
      <c r="Q122">
        <v>52904</v>
      </c>
      <c r="R122">
        <v>80798</v>
      </c>
      <c r="S122" s="1">
        <v>0.65480000000000005</v>
      </c>
      <c r="T122">
        <v>0</v>
      </c>
      <c r="U122">
        <v>1612</v>
      </c>
      <c r="Y122" t="s">
        <v>1096</v>
      </c>
      <c r="Z122" t="s">
        <v>74</v>
      </c>
      <c r="AA122" t="s">
        <v>1371</v>
      </c>
      <c r="AB122" s="2">
        <v>40842.497372685182</v>
      </c>
      <c r="AC122" t="s">
        <v>108</v>
      </c>
      <c r="AD122" t="s">
        <v>323</v>
      </c>
      <c r="AE122">
        <v>37696</v>
      </c>
      <c r="AF122" t="s">
        <v>78</v>
      </c>
      <c r="AG122" s="1">
        <v>0.98089999999999999</v>
      </c>
      <c r="AH122" t="s">
        <v>79</v>
      </c>
      <c r="AI122" t="s">
        <v>80</v>
      </c>
      <c r="AK122" s="3">
        <v>42242</v>
      </c>
      <c r="AL122" s="4">
        <v>0.92982638888888891</v>
      </c>
      <c r="AM122" t="s">
        <v>1372</v>
      </c>
      <c r="AN122" t="s">
        <v>135</v>
      </c>
      <c r="AO122" t="s">
        <v>1373</v>
      </c>
      <c r="AP122" t="s">
        <v>1374</v>
      </c>
      <c r="AQ122" t="s">
        <v>85</v>
      </c>
      <c r="AR122" t="s">
        <v>164</v>
      </c>
      <c r="AS122" t="s">
        <v>115</v>
      </c>
      <c r="AT122" t="s">
        <v>622</v>
      </c>
      <c r="AU122" t="s">
        <v>240</v>
      </c>
      <c r="AV122" t="s">
        <v>1375</v>
      </c>
      <c r="AW122" t="s">
        <v>91</v>
      </c>
      <c r="AX122" t="s">
        <v>287</v>
      </c>
      <c r="AY122" t="s">
        <v>93</v>
      </c>
      <c r="AZ122" t="s">
        <v>94</v>
      </c>
      <c r="BC122" t="s">
        <v>689</v>
      </c>
      <c r="BD122" t="s">
        <v>1376</v>
      </c>
      <c r="BF122" t="s">
        <v>168</v>
      </c>
      <c r="BG122" t="s">
        <v>97</v>
      </c>
      <c r="BI122" t="s">
        <v>219</v>
      </c>
      <c r="BK122" t="s">
        <v>49</v>
      </c>
      <c r="BM122" t="s">
        <v>171</v>
      </c>
      <c r="BN122" t="s">
        <v>184</v>
      </c>
      <c r="BQ122" t="s">
        <v>100</v>
      </c>
      <c r="BR122" t="s">
        <v>1377</v>
      </c>
    </row>
    <row r="123" spans="1:70" x14ac:dyDescent="0.25">
      <c r="A123">
        <v>121</v>
      </c>
      <c r="B123" t="s">
        <v>1378</v>
      </c>
      <c r="C123" t="s">
        <v>1379</v>
      </c>
      <c r="E123">
        <v>90</v>
      </c>
      <c r="F123" s="1">
        <v>0.5</v>
      </c>
      <c r="G123">
        <v>45</v>
      </c>
      <c r="H123">
        <v>45</v>
      </c>
      <c r="I123">
        <v>25098869</v>
      </c>
      <c r="J123" t="s">
        <v>72</v>
      </c>
      <c r="K123">
        <v>4098</v>
      </c>
      <c r="L123" s="1">
        <v>4.7999999999999996E-3</v>
      </c>
      <c r="M123">
        <v>5003</v>
      </c>
      <c r="N123" s="1">
        <v>4.4000000000000003E-3</v>
      </c>
      <c r="O123">
        <v>225135</v>
      </c>
      <c r="P123" s="1">
        <v>4.1000000000000003E-3</v>
      </c>
      <c r="Q123">
        <v>29756</v>
      </c>
      <c r="R123">
        <v>24250</v>
      </c>
      <c r="S123" s="1">
        <v>1.2271000000000001</v>
      </c>
      <c r="T123">
        <v>0</v>
      </c>
      <c r="U123">
        <v>763</v>
      </c>
      <c r="Y123" t="s">
        <v>672</v>
      </c>
      <c r="Z123" t="s">
        <v>175</v>
      </c>
      <c r="AA123" t="s">
        <v>1380</v>
      </c>
      <c r="AB123" s="2">
        <v>41774.808136574073</v>
      </c>
      <c r="AC123" t="s">
        <v>640</v>
      </c>
      <c r="AD123" t="s">
        <v>307</v>
      </c>
      <c r="AE123">
        <v>711</v>
      </c>
      <c r="AF123" t="s">
        <v>78</v>
      </c>
      <c r="AG123" s="1">
        <v>0.98119999999999996</v>
      </c>
      <c r="AH123" t="s">
        <v>79</v>
      </c>
      <c r="AI123" t="s">
        <v>80</v>
      </c>
      <c r="AK123" s="3">
        <v>42245</v>
      </c>
      <c r="AL123" s="4">
        <v>0.43055555555555558</v>
      </c>
      <c r="AM123" t="s">
        <v>1381</v>
      </c>
      <c r="AN123" t="s">
        <v>161</v>
      </c>
      <c r="AO123" t="s">
        <v>1382</v>
      </c>
      <c r="AP123" t="s">
        <v>1383</v>
      </c>
      <c r="AQ123" t="s">
        <v>85</v>
      </c>
      <c r="AR123" t="s">
        <v>86</v>
      </c>
      <c r="AS123" t="s">
        <v>115</v>
      </c>
      <c r="AT123" t="s">
        <v>88</v>
      </c>
      <c r="AU123" t="s">
        <v>89</v>
      </c>
      <c r="AV123" t="s">
        <v>1384</v>
      </c>
      <c r="AX123" t="s">
        <v>287</v>
      </c>
      <c r="AY123" t="s">
        <v>312</v>
      </c>
      <c r="AZ123" t="s">
        <v>94</v>
      </c>
      <c r="BA123" t="s">
        <v>121</v>
      </c>
      <c r="BF123" t="s">
        <v>124</v>
      </c>
      <c r="BG123" t="s">
        <v>97</v>
      </c>
      <c r="BI123" t="s">
        <v>219</v>
      </c>
      <c r="BK123" t="s">
        <v>63</v>
      </c>
      <c r="BM123" t="s">
        <v>98</v>
      </c>
      <c r="BN123" t="s">
        <v>125</v>
      </c>
      <c r="BQ123" t="s">
        <v>100</v>
      </c>
      <c r="BR123" t="s">
        <v>1385</v>
      </c>
    </row>
    <row r="124" spans="1:70" x14ac:dyDescent="0.25">
      <c r="A124">
        <v>122</v>
      </c>
      <c r="B124" t="s">
        <v>1386</v>
      </c>
      <c r="C124" t="s">
        <v>1387</v>
      </c>
      <c r="D124" t="s">
        <v>1388</v>
      </c>
      <c r="E124">
        <v>398</v>
      </c>
      <c r="F124" s="1">
        <v>0.2442</v>
      </c>
      <c r="G124">
        <v>97.2</v>
      </c>
      <c r="H124">
        <v>97.2</v>
      </c>
      <c r="I124">
        <v>1098</v>
      </c>
      <c r="J124" t="s">
        <v>72</v>
      </c>
      <c r="K124">
        <v>4066</v>
      </c>
      <c r="L124" s="1">
        <v>4.7000000000000002E-3</v>
      </c>
      <c r="M124">
        <v>4615</v>
      </c>
      <c r="N124" s="1">
        <v>4.1000000000000003E-3</v>
      </c>
      <c r="O124">
        <v>448578</v>
      </c>
      <c r="P124" s="1">
        <v>8.0999999999999996E-3</v>
      </c>
      <c r="Q124">
        <v>38162</v>
      </c>
      <c r="R124">
        <v>117798</v>
      </c>
      <c r="S124" s="1">
        <v>0.32400000000000001</v>
      </c>
      <c r="T124">
        <v>17</v>
      </c>
      <c r="U124">
        <v>5941</v>
      </c>
      <c r="Y124" t="s">
        <v>73</v>
      </c>
      <c r="Z124" t="s">
        <v>74</v>
      </c>
      <c r="AA124" t="s">
        <v>1389</v>
      </c>
      <c r="AB124" s="2">
        <v>41922.833298611113</v>
      </c>
      <c r="AC124" t="s">
        <v>224</v>
      </c>
      <c r="AD124" t="s">
        <v>1390</v>
      </c>
      <c r="AE124">
        <v>168360</v>
      </c>
      <c r="AF124" t="s">
        <v>78</v>
      </c>
      <c r="AG124" s="1">
        <v>0.99609999999999999</v>
      </c>
      <c r="AH124" t="s">
        <v>79</v>
      </c>
      <c r="AI124" t="s">
        <v>80</v>
      </c>
      <c r="AK124" s="3">
        <v>42246</v>
      </c>
      <c r="AL124" s="4">
        <v>0.73675925925925922</v>
      </c>
      <c r="AM124" t="s">
        <v>1391</v>
      </c>
      <c r="AN124" t="s">
        <v>194</v>
      </c>
      <c r="AO124" t="s">
        <v>1392</v>
      </c>
      <c r="AP124" t="s">
        <v>1393</v>
      </c>
      <c r="AQ124" t="s">
        <v>85</v>
      </c>
      <c r="AR124" t="s">
        <v>164</v>
      </c>
      <c r="AS124" t="s">
        <v>87</v>
      </c>
      <c r="AT124" t="s">
        <v>88</v>
      </c>
      <c r="AU124" t="s">
        <v>89</v>
      </c>
      <c r="AV124" t="s">
        <v>1394</v>
      </c>
      <c r="AW124" t="s">
        <v>91</v>
      </c>
      <c r="AX124" t="s">
        <v>287</v>
      </c>
      <c r="AY124" t="s">
        <v>199</v>
      </c>
      <c r="AZ124" t="s">
        <v>140</v>
      </c>
      <c r="BA124" t="s">
        <v>121</v>
      </c>
      <c r="BC124" t="s">
        <v>242</v>
      </c>
      <c r="BD124" t="s">
        <v>1395</v>
      </c>
      <c r="BE124" t="s">
        <v>1388</v>
      </c>
      <c r="BF124" t="s">
        <v>569</v>
      </c>
      <c r="BG124" t="s">
        <v>97</v>
      </c>
      <c r="BI124" t="s">
        <v>219</v>
      </c>
      <c r="BJ124" t="s">
        <v>288</v>
      </c>
      <c r="BK124" t="s">
        <v>49</v>
      </c>
      <c r="BM124" t="s">
        <v>171</v>
      </c>
      <c r="BN124" t="s">
        <v>125</v>
      </c>
      <c r="BQ124" t="s">
        <v>100</v>
      </c>
      <c r="BR124" t="s">
        <v>1396</v>
      </c>
    </row>
    <row r="125" spans="1:70" x14ac:dyDescent="0.25">
      <c r="A125">
        <v>123</v>
      </c>
      <c r="B125" t="s">
        <v>1397</v>
      </c>
      <c r="C125" t="s">
        <v>1398</v>
      </c>
      <c r="D125">
        <v>2426</v>
      </c>
      <c r="E125">
        <v>330</v>
      </c>
      <c r="F125" s="1">
        <v>0.11849999999999999</v>
      </c>
      <c r="G125">
        <v>39.1</v>
      </c>
      <c r="H125">
        <v>39.1</v>
      </c>
      <c r="I125">
        <v>14897</v>
      </c>
      <c r="J125" t="s">
        <v>72</v>
      </c>
      <c r="K125">
        <v>4044</v>
      </c>
      <c r="L125" s="1">
        <v>4.7000000000000002E-3</v>
      </c>
      <c r="M125">
        <v>5124</v>
      </c>
      <c r="N125" s="1">
        <v>4.4999999999999997E-3</v>
      </c>
      <c r="O125">
        <v>200348.4</v>
      </c>
      <c r="P125" s="1">
        <v>3.5999999999999999E-3</v>
      </c>
      <c r="Q125">
        <v>16708</v>
      </c>
      <c r="R125">
        <v>16285</v>
      </c>
      <c r="S125" s="1">
        <v>1.026</v>
      </c>
      <c r="T125">
        <v>0</v>
      </c>
      <c r="U125">
        <v>886</v>
      </c>
      <c r="Y125" t="s">
        <v>596</v>
      </c>
      <c r="Z125" t="s">
        <v>175</v>
      </c>
      <c r="AA125" t="s">
        <v>1399</v>
      </c>
      <c r="AB125" s="2">
        <v>41921.098182870373</v>
      </c>
      <c r="AC125" t="s">
        <v>640</v>
      </c>
      <c r="AD125" t="s">
        <v>109</v>
      </c>
      <c r="AE125">
        <v>5538</v>
      </c>
      <c r="AF125" t="s">
        <v>78</v>
      </c>
      <c r="AG125" s="1">
        <v>0.95320000000000005</v>
      </c>
      <c r="AH125" t="s">
        <v>79</v>
      </c>
      <c r="AI125" t="s">
        <v>80</v>
      </c>
      <c r="AK125" s="3">
        <v>42243</v>
      </c>
      <c r="AL125" s="4">
        <v>0.6604282407407408</v>
      </c>
      <c r="AM125" t="s">
        <v>1400</v>
      </c>
      <c r="AN125" t="s">
        <v>179</v>
      </c>
      <c r="AO125" t="s">
        <v>1401</v>
      </c>
      <c r="AP125" t="s">
        <v>1402</v>
      </c>
      <c r="AR125" t="s">
        <v>283</v>
      </c>
      <c r="AT125" t="s">
        <v>1403</v>
      </c>
      <c r="AU125" t="s">
        <v>240</v>
      </c>
      <c r="AV125" t="s">
        <v>1198</v>
      </c>
      <c r="AX125" t="s">
        <v>739</v>
      </c>
      <c r="AZ125" t="s">
        <v>120</v>
      </c>
      <c r="BC125" t="s">
        <v>144</v>
      </c>
      <c r="BE125">
        <v>2426</v>
      </c>
      <c r="BG125" t="s">
        <v>97</v>
      </c>
      <c r="BK125" t="s">
        <v>49</v>
      </c>
      <c r="BM125" t="s">
        <v>98</v>
      </c>
      <c r="BQ125" t="s">
        <v>127</v>
      </c>
      <c r="BR125" t="s">
        <v>1404</v>
      </c>
    </row>
    <row r="126" spans="1:70" x14ac:dyDescent="0.25">
      <c r="A126">
        <v>124</v>
      </c>
      <c r="B126" t="s">
        <v>1405</v>
      </c>
      <c r="C126" t="s">
        <v>1406</v>
      </c>
      <c r="E126">
        <v>74</v>
      </c>
      <c r="F126" s="1">
        <v>0.41889999999999999</v>
      </c>
      <c r="G126">
        <v>31</v>
      </c>
      <c r="H126">
        <v>31</v>
      </c>
      <c r="I126">
        <v>236273</v>
      </c>
      <c r="J126" t="s">
        <v>72</v>
      </c>
      <c r="K126">
        <v>4041</v>
      </c>
      <c r="L126" s="1">
        <v>4.7000000000000002E-3</v>
      </c>
      <c r="M126">
        <v>4739</v>
      </c>
      <c r="N126" s="1">
        <v>4.1999999999999997E-3</v>
      </c>
      <c r="O126">
        <v>146909</v>
      </c>
      <c r="P126" s="1">
        <v>2.7000000000000001E-3</v>
      </c>
      <c r="Q126">
        <v>9112</v>
      </c>
      <c r="R126">
        <v>13330</v>
      </c>
      <c r="S126" s="1">
        <v>0.68359999999999999</v>
      </c>
      <c r="T126">
        <v>1</v>
      </c>
      <c r="U126">
        <v>1140</v>
      </c>
      <c r="Y126" t="s">
        <v>189</v>
      </c>
      <c r="Z126" t="s">
        <v>175</v>
      </c>
      <c r="AA126" t="s">
        <v>1407</v>
      </c>
      <c r="AB126" s="2">
        <v>41737.557500000003</v>
      </c>
      <c r="AC126" t="s">
        <v>224</v>
      </c>
      <c r="AD126" t="s">
        <v>307</v>
      </c>
      <c r="AE126">
        <v>7010</v>
      </c>
      <c r="AF126" t="s">
        <v>78</v>
      </c>
      <c r="AG126" s="1">
        <v>0.9839</v>
      </c>
      <c r="AH126" t="s">
        <v>79</v>
      </c>
      <c r="AI126" t="s">
        <v>80</v>
      </c>
      <c r="AK126" s="3">
        <v>42246</v>
      </c>
      <c r="AL126" s="4">
        <v>0.68508101851851855</v>
      </c>
      <c r="AM126" t="s">
        <v>1408</v>
      </c>
      <c r="AN126" t="s">
        <v>194</v>
      </c>
      <c r="AO126" t="s">
        <v>1409</v>
      </c>
      <c r="AP126" t="s">
        <v>1410</v>
      </c>
      <c r="AQ126" t="s">
        <v>144</v>
      </c>
      <c r="AR126" t="s">
        <v>214</v>
      </c>
      <c r="AT126" t="s">
        <v>284</v>
      </c>
      <c r="AU126" t="s">
        <v>89</v>
      </c>
      <c r="AV126" t="s">
        <v>1411</v>
      </c>
      <c r="AW126" t="s">
        <v>91</v>
      </c>
      <c r="AX126" t="s">
        <v>287</v>
      </c>
      <c r="AY126" t="s">
        <v>93</v>
      </c>
      <c r="AZ126" t="s">
        <v>140</v>
      </c>
      <c r="BA126" t="s">
        <v>121</v>
      </c>
      <c r="BC126" t="s">
        <v>242</v>
      </c>
      <c r="BD126" t="s">
        <v>1412</v>
      </c>
      <c r="BF126" t="s">
        <v>124</v>
      </c>
      <c r="BG126" t="s">
        <v>97</v>
      </c>
      <c r="BI126" t="s">
        <v>219</v>
      </c>
      <c r="BJ126" t="s">
        <v>145</v>
      </c>
      <c r="BK126" t="s">
        <v>49</v>
      </c>
      <c r="BM126" t="s">
        <v>171</v>
      </c>
      <c r="BN126" t="s">
        <v>184</v>
      </c>
      <c r="BQ126" t="s">
        <v>127</v>
      </c>
      <c r="BR126" t="s">
        <v>1413</v>
      </c>
    </row>
    <row r="127" spans="1:70" x14ac:dyDescent="0.25">
      <c r="A127" t="s">
        <v>1</v>
      </c>
      <c r="B127" t="s">
        <v>2</v>
      </c>
      <c r="C127" t="s">
        <v>3</v>
      </c>
      <c r="D127" t="s">
        <v>4</v>
      </c>
      <c r="E127" t="s">
        <v>5</v>
      </c>
      <c r="F127" t="s">
        <v>6</v>
      </c>
      <c r="G127" t="s">
        <v>7</v>
      </c>
      <c r="H127" t="s">
        <v>8</v>
      </c>
      <c r="I127" t="s">
        <v>9</v>
      </c>
      <c r="J127" t="s">
        <v>10</v>
      </c>
      <c r="K127" t="s">
        <v>11</v>
      </c>
      <c r="L127" t="s">
        <v>12</v>
      </c>
      <c r="M127" t="s">
        <v>13</v>
      </c>
      <c r="N127" t="s">
        <v>14</v>
      </c>
      <c r="O127" t="s">
        <v>15</v>
      </c>
      <c r="P127" t="s">
        <v>16</v>
      </c>
      <c r="Q127" t="s">
        <v>17</v>
      </c>
      <c r="R127" t="s">
        <v>18</v>
      </c>
      <c r="S127" t="s">
        <v>19</v>
      </c>
      <c r="T127" t="s">
        <v>20</v>
      </c>
      <c r="U127" t="s">
        <v>21</v>
      </c>
      <c r="V127" t="s">
        <v>22</v>
      </c>
      <c r="W127" t="s">
        <v>23</v>
      </c>
      <c r="X127" t="s">
        <v>24</v>
      </c>
      <c r="Y127" t="s">
        <v>25</v>
      </c>
      <c r="Z127" t="s">
        <v>26</v>
      </c>
      <c r="AA127" t="s">
        <v>27</v>
      </c>
      <c r="AB127" t="s">
        <v>28</v>
      </c>
      <c r="AC127" t="s">
        <v>29</v>
      </c>
      <c r="AD127" t="s">
        <v>30</v>
      </c>
      <c r="AE127" t="s">
        <v>31</v>
      </c>
      <c r="AF127" t="s">
        <v>32</v>
      </c>
      <c r="AG127" t="s">
        <v>33</v>
      </c>
      <c r="AH127" t="s">
        <v>34</v>
      </c>
      <c r="AI127" t="s">
        <v>35</v>
      </c>
      <c r="AJ127" t="s">
        <v>36</v>
      </c>
      <c r="AK127" t="s">
        <v>37</v>
      </c>
      <c r="AL127" t="s">
        <v>38</v>
      </c>
      <c r="AM127" t="s">
        <v>39</v>
      </c>
      <c r="AN127" t="s">
        <v>40</v>
      </c>
      <c r="AO127" t="s">
        <v>41</v>
      </c>
      <c r="AP127" t="s">
        <v>42</v>
      </c>
      <c r="AQ127" t="s">
        <v>43</v>
      </c>
      <c r="AR127" t="s">
        <v>44</v>
      </c>
      <c r="AS127" t="s">
        <v>45</v>
      </c>
      <c r="AT127" t="s">
        <v>46</v>
      </c>
      <c r="AU127" t="s">
        <v>47</v>
      </c>
      <c r="AV127" t="s">
        <v>48</v>
      </c>
      <c r="AW127" t="s">
        <v>49</v>
      </c>
      <c r="AX127" t="s">
        <v>50</v>
      </c>
      <c r="AY127" t="s">
        <v>51</v>
      </c>
      <c r="AZ127" t="s">
        <v>52</v>
      </c>
      <c r="BA127" t="s">
        <v>53</v>
      </c>
      <c r="BB127" t="s">
        <v>54</v>
      </c>
      <c r="BC127" t="s">
        <v>55</v>
      </c>
      <c r="BD127" t="s">
        <v>56</v>
      </c>
      <c r="BE127" t="s">
        <v>4</v>
      </c>
      <c r="BF127" t="s">
        <v>57</v>
      </c>
      <c r="BG127" t="s">
        <v>58</v>
      </c>
      <c r="BH127" t="s">
        <v>59</v>
      </c>
      <c r="BI127" t="s">
        <v>60</v>
      </c>
      <c r="BJ127" t="s">
        <v>61</v>
      </c>
      <c r="BK127" t="s">
        <v>62</v>
      </c>
      <c r="BL127" t="s">
        <v>63</v>
      </c>
      <c r="BM127" t="s">
        <v>64</v>
      </c>
      <c r="BN127" t="s">
        <v>65</v>
      </c>
      <c r="BO127" t="s">
        <v>66</v>
      </c>
      <c r="BP127" t="s">
        <v>67</v>
      </c>
      <c r="BQ127" t="s">
        <v>68</v>
      </c>
      <c r="BR127" t="s">
        <v>69</v>
      </c>
    </row>
    <row r="128" spans="1:70" x14ac:dyDescent="0.25">
      <c r="A128" t="s">
        <v>1414</v>
      </c>
      <c r="C128" t="s">
        <v>1415</v>
      </c>
      <c r="I128">
        <v>38135579</v>
      </c>
      <c r="K128">
        <v>856090</v>
      </c>
      <c r="M128">
        <v>1133871</v>
      </c>
      <c r="O128">
        <v>55239276.920000002</v>
      </c>
      <c r="Q128">
        <v>5304962</v>
      </c>
      <c r="R128">
        <v>15147332</v>
      </c>
      <c r="T128">
        <v>5578</v>
      </c>
      <c r="U128">
        <v>681643</v>
      </c>
      <c r="V128" t="s">
        <v>1416</v>
      </c>
      <c r="W128" t="s">
        <v>1417</v>
      </c>
    </row>
    <row r="130" spans="2:36" x14ac:dyDescent="0.25">
      <c r="B130" t="str">
        <f>$C$2</f>
        <v>宝贝名称：看店宝【kandianbao.com】</v>
      </c>
      <c r="AG130" s="9" t="s">
        <v>1447</v>
      </c>
      <c r="AH130" s="9" t="s">
        <v>1448</v>
      </c>
      <c r="AJ130" t="str">
        <f>VLOOKUP(AC2,$AG$130:$AH$142,2)</f>
        <v>头部卖家-顶</v>
      </c>
    </row>
    <row r="131" spans="2:36" x14ac:dyDescent="0.25">
      <c r="P131" t="s">
        <v>1423</v>
      </c>
      <c r="Q131" t="s">
        <v>1424</v>
      </c>
      <c r="S131" t="str">
        <f>LEFT(TRIM(CLEAN(Z2)),2)</f>
        <v>所在</v>
      </c>
      <c r="AG131" s="9" t="s">
        <v>209</v>
      </c>
      <c r="AH131" s="9" t="s">
        <v>1449</v>
      </c>
      <c r="AJ131" t="e">
        <f>VLOOKUP(AC3,$AG$130:$AH$142,2)</f>
        <v>#N/A</v>
      </c>
    </row>
    <row r="132" spans="2:36" x14ac:dyDescent="0.25">
      <c r="P132" t="s">
        <v>1425</v>
      </c>
      <c r="Q132" t="s">
        <v>1436</v>
      </c>
      <c r="U132" t="s">
        <v>1462</v>
      </c>
      <c r="V132">
        <f>COUNTIFS(Z1:Z126,"浙江杭州")</f>
        <v>39</v>
      </c>
      <c r="AG132" s="9" t="s">
        <v>640</v>
      </c>
      <c r="AH132" s="9" t="s">
        <v>1450</v>
      </c>
      <c r="AJ132" t="e">
        <f t="shared" ref="AJ132:AJ148" si="0">VLOOKUP(AC4,$AG$130:$AH$142,2)</f>
        <v>#N/A</v>
      </c>
    </row>
    <row r="133" spans="2:36" x14ac:dyDescent="0.25">
      <c r="P133" t="s">
        <v>1426</v>
      </c>
      <c r="Q133" t="s">
        <v>1437</v>
      </c>
      <c r="U133" t="s">
        <v>1463</v>
      </c>
      <c r="V133">
        <f>COUNTIFS(AZ:AZ,"短裙")</f>
        <v>47</v>
      </c>
      <c r="AG133" s="9" t="s">
        <v>407</v>
      </c>
      <c r="AH133" s="9" t="s">
        <v>1451</v>
      </c>
      <c r="AJ133" t="e">
        <f t="shared" si="0"/>
        <v>#N/A</v>
      </c>
    </row>
    <row r="134" spans="2:36" x14ac:dyDescent="0.25">
      <c r="P134" t="s">
        <v>1427</v>
      </c>
      <c r="Q134" t="s">
        <v>1438</v>
      </c>
      <c r="S134" t="b">
        <f>Z2=BD2</f>
        <v>0</v>
      </c>
      <c r="U134" t="s">
        <v>1464</v>
      </c>
      <c r="V134">
        <f>COUNTIFS(AZ:AZ,"短裙",Z:Z,"广东广州")</f>
        <v>29</v>
      </c>
      <c r="AG134" s="9" t="s">
        <v>108</v>
      </c>
      <c r="AH134" s="9" t="s">
        <v>1452</v>
      </c>
      <c r="AJ134" t="e">
        <f t="shared" si="0"/>
        <v>#N/A</v>
      </c>
    </row>
    <row r="135" spans="2:36" x14ac:dyDescent="0.25">
      <c r="P135" t="s">
        <v>1428</v>
      </c>
      <c r="Q135" t="s">
        <v>1439</v>
      </c>
      <c r="U135" t="s">
        <v>1465</v>
      </c>
      <c r="V135">
        <f>COUNTIFS(BK:BK,"通勤")</f>
        <v>94</v>
      </c>
      <c r="AG135" s="9" t="s">
        <v>76</v>
      </c>
      <c r="AH135" s="9" t="s">
        <v>1453</v>
      </c>
      <c r="AJ135" t="e">
        <f t="shared" si="0"/>
        <v>#N/A</v>
      </c>
    </row>
    <row r="136" spans="2:36" x14ac:dyDescent="0.25">
      <c r="P136" t="s">
        <v>1429</v>
      </c>
      <c r="Q136" t="s">
        <v>1440</v>
      </c>
      <c r="S136">
        <f>LEN(Z2)</f>
        <v>3</v>
      </c>
      <c r="AG136" s="9" t="s">
        <v>224</v>
      </c>
      <c r="AH136" s="9" t="s">
        <v>1454</v>
      </c>
      <c r="AJ136" t="str">
        <f t="shared" si="0"/>
        <v>头部卖家-高</v>
      </c>
    </row>
    <row r="137" spans="2:36" x14ac:dyDescent="0.25">
      <c r="P137" t="s">
        <v>1430</v>
      </c>
      <c r="Q137" t="s">
        <v>1441</v>
      </c>
      <c r="S137">
        <f>LEN(BD2)</f>
        <v>7</v>
      </c>
      <c r="AG137" s="9" t="s">
        <v>192</v>
      </c>
      <c r="AH137" s="9" t="s">
        <v>1455</v>
      </c>
      <c r="AJ137" t="str">
        <f t="shared" si="0"/>
        <v>头部卖家-高</v>
      </c>
    </row>
    <row r="138" spans="2:36" x14ac:dyDescent="0.25">
      <c r="P138" t="s">
        <v>1431</v>
      </c>
      <c r="Q138" t="s">
        <v>1442</v>
      </c>
      <c r="U138" t="s">
        <v>1466</v>
      </c>
      <c r="V138">
        <f>SUMIFS(O:O,Z:Z,"浙江杭州")</f>
        <v>28947487.839999992</v>
      </c>
      <c r="AG138" s="9" t="s">
        <v>236</v>
      </c>
      <c r="AH138" s="9" t="s">
        <v>1456</v>
      </c>
      <c r="AJ138" t="str">
        <f t="shared" si="0"/>
        <v>成熟店-较强</v>
      </c>
    </row>
    <row r="139" spans="2:36" x14ac:dyDescent="0.25">
      <c r="P139" t="s">
        <v>1432</v>
      </c>
      <c r="Q139" t="s">
        <v>1443</v>
      </c>
      <c r="U139" t="s">
        <v>1467</v>
      </c>
      <c r="V139">
        <f>SUMIFS(O:O,Z:Z,"广东广州",AZ:AZ,"短裙")</f>
        <v>8743432.0800000001</v>
      </c>
      <c r="AG139" s="9" t="s">
        <v>157</v>
      </c>
      <c r="AH139" s="9" t="s">
        <v>1457</v>
      </c>
      <c r="AJ139" t="str">
        <f t="shared" si="0"/>
        <v>头部卖家-顶</v>
      </c>
    </row>
    <row r="140" spans="2:36" x14ac:dyDescent="0.25">
      <c r="P140" t="s">
        <v>1433</v>
      </c>
      <c r="Q140" t="s">
        <v>1444</v>
      </c>
      <c r="U140" t="s">
        <v>1468</v>
      </c>
      <c r="V140">
        <f>SUMIFS(M:M,AC:AC,"5冠")</f>
        <v>71321</v>
      </c>
      <c r="AG140" s="9" t="s">
        <v>322</v>
      </c>
      <c r="AH140" s="9" t="s">
        <v>1458</v>
      </c>
      <c r="AJ140" t="e">
        <f t="shared" si="0"/>
        <v>#N/A</v>
      </c>
    </row>
    <row r="141" spans="2:36" x14ac:dyDescent="0.25">
      <c r="P141" t="s">
        <v>1434</v>
      </c>
      <c r="Q141" t="s">
        <v>1445</v>
      </c>
      <c r="U141" t="s">
        <v>1469</v>
      </c>
      <c r="V141">
        <f>SUMIFS(AE:AE,BK:BK,"甜美")</f>
        <v>1797767</v>
      </c>
      <c r="AG141" s="9" t="s">
        <v>1459</v>
      </c>
      <c r="AH141" s="9" t="s">
        <v>1460</v>
      </c>
      <c r="AJ141" t="str">
        <f t="shared" si="0"/>
        <v>头部卖家-高</v>
      </c>
    </row>
    <row r="142" spans="2:36" x14ac:dyDescent="0.25">
      <c r="P142" t="s">
        <v>1435</v>
      </c>
      <c r="Q142" t="s">
        <v>1446</v>
      </c>
      <c r="U142" t="s">
        <v>1470</v>
      </c>
      <c r="V142">
        <f>AVERAGEIFS(G:G,AZ:AZ,"长裙")</f>
        <v>52.444583333333327</v>
      </c>
      <c r="AG142" s="9" t="s">
        <v>468</v>
      </c>
      <c r="AH142" s="9" t="s">
        <v>1461</v>
      </c>
      <c r="AJ142" t="e">
        <f t="shared" si="0"/>
        <v>#N/A</v>
      </c>
    </row>
    <row r="143" spans="2:36" x14ac:dyDescent="0.25">
      <c r="AJ143" t="str">
        <f t="shared" si="0"/>
        <v>头部卖家-高</v>
      </c>
    </row>
    <row r="144" spans="2:36" x14ac:dyDescent="0.25">
      <c r="AJ144" t="e">
        <f t="shared" si="0"/>
        <v>#N/A</v>
      </c>
    </row>
    <row r="145" spans="36:36" x14ac:dyDescent="0.25">
      <c r="AJ145" t="e">
        <f t="shared" si="0"/>
        <v>#N/A</v>
      </c>
    </row>
    <row r="146" spans="36:36" x14ac:dyDescent="0.25">
      <c r="AJ146" t="str">
        <f t="shared" si="0"/>
        <v>成熟店-较强</v>
      </c>
    </row>
    <row r="147" spans="36:36" x14ac:dyDescent="0.25">
      <c r="AJ147" t="str">
        <f t="shared" si="0"/>
        <v>成熟店-较强</v>
      </c>
    </row>
    <row r="148" spans="36:36" x14ac:dyDescent="0.25">
      <c r="AJ148" t="str">
        <f t="shared" si="0"/>
        <v>成熟店-较强</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11CF5-55AD-4AE9-A30D-25D1A5E03BB3}">
  <dimension ref="B2:F34"/>
  <sheetViews>
    <sheetView topLeftCell="A2" workbookViewId="0">
      <selection activeCell="E28" sqref="E28"/>
    </sheetView>
  </sheetViews>
  <sheetFormatPr defaultRowHeight="14" x14ac:dyDescent="0.25"/>
  <cols>
    <col min="2" max="2" width="13.54296875" bestFit="1" customWidth="1"/>
    <col min="3" max="3" width="17.90625" bestFit="1" customWidth="1"/>
    <col min="5" max="5" width="29.7265625" bestFit="1" customWidth="1"/>
    <col min="6" max="6" width="12.453125" bestFit="1" customWidth="1"/>
  </cols>
  <sheetData>
    <row r="2" spans="2:6" x14ac:dyDescent="0.25">
      <c r="B2" t="s">
        <v>1423</v>
      </c>
      <c r="C2" t="s">
        <v>1424</v>
      </c>
      <c r="E2" s="10" t="str">
        <f>源数据!U132</f>
        <v>杭州的商品</v>
      </c>
      <c r="F2" s="10">
        <f>源数据!V132</f>
        <v>39</v>
      </c>
    </row>
    <row r="3" spans="2:6" x14ac:dyDescent="0.25">
      <c r="B3" t="s">
        <v>1425</v>
      </c>
      <c r="C3" t="s">
        <v>1436</v>
      </c>
      <c r="E3" s="10" t="str">
        <f>源数据!U133</f>
        <v>短裙数量</v>
      </c>
      <c r="F3" s="10">
        <f>源数据!V133</f>
        <v>47</v>
      </c>
    </row>
    <row r="4" spans="2:6" x14ac:dyDescent="0.25">
      <c r="B4" t="s">
        <v>1426</v>
      </c>
      <c r="C4" t="s">
        <v>1437</v>
      </c>
      <c r="E4" s="10" t="str">
        <f>源数据!U134</f>
        <v>广州的短裙数量</v>
      </c>
      <c r="F4" s="10">
        <f>源数据!V134</f>
        <v>29</v>
      </c>
    </row>
    <row r="5" spans="2:6" x14ac:dyDescent="0.25">
      <c r="B5" t="s">
        <v>1427</v>
      </c>
      <c r="C5" t="s">
        <v>1438</v>
      </c>
      <c r="E5" s="10" t="str">
        <f>源数据!U135</f>
        <v>通勤风数量</v>
      </c>
      <c r="F5" s="10">
        <f>源数据!V135</f>
        <v>94</v>
      </c>
    </row>
    <row r="6" spans="2:6" x14ac:dyDescent="0.25">
      <c r="B6" t="s">
        <v>1428</v>
      </c>
      <c r="C6" t="s">
        <v>1439</v>
      </c>
      <c r="E6" s="10" t="str">
        <f>源数据!U138</f>
        <v>杭州的30天总销售额</v>
      </c>
      <c r="F6" s="10">
        <f>源数据!V138</f>
        <v>28947487.839999992</v>
      </c>
    </row>
    <row r="7" spans="2:6" x14ac:dyDescent="0.25">
      <c r="B7" t="s">
        <v>1429</v>
      </c>
      <c r="C7" t="s">
        <v>1440</v>
      </c>
      <c r="E7" s="10" t="str">
        <f>源数据!U139</f>
        <v>广州短裙的30天总销售额</v>
      </c>
      <c r="F7" s="10">
        <f>源数据!V139</f>
        <v>8743432.0800000001</v>
      </c>
    </row>
    <row r="8" spans="2:6" x14ac:dyDescent="0.25">
      <c r="B8" t="s">
        <v>1430</v>
      </c>
      <c r="C8" t="s">
        <v>1441</v>
      </c>
      <c r="E8" s="10" t="str">
        <f>源数据!U140</f>
        <v>店铺信誉是"5冠"的30天总销量</v>
      </c>
      <c r="F8" s="10">
        <f>源数据!V140</f>
        <v>71321</v>
      </c>
    </row>
    <row r="9" spans="2:6" x14ac:dyDescent="0.25">
      <c r="B9" t="s">
        <v>1431</v>
      </c>
      <c r="C9" t="s">
        <v>1442</v>
      </c>
      <c r="E9" s="10" t="str">
        <f>源数据!U141</f>
        <v>风格是"甜美"的总收藏量</v>
      </c>
      <c r="F9" s="10">
        <f>源数据!V141</f>
        <v>1797767</v>
      </c>
    </row>
    <row r="10" spans="2:6" x14ac:dyDescent="0.25">
      <c r="B10" t="s">
        <v>1432</v>
      </c>
      <c r="C10" t="s">
        <v>1443</v>
      </c>
      <c r="E10" s="10" t="str">
        <f>源数据!U142</f>
        <v>长裙的平均销售价</v>
      </c>
      <c r="F10" s="10">
        <f>源数据!V142</f>
        <v>52.444583333333327</v>
      </c>
    </row>
    <row r="11" spans="2:6" x14ac:dyDescent="0.25">
      <c r="B11" t="s">
        <v>1433</v>
      </c>
      <c r="C11" t="s">
        <v>1444</v>
      </c>
    </row>
    <row r="12" spans="2:6" x14ac:dyDescent="0.25">
      <c r="B12" t="s">
        <v>1434</v>
      </c>
      <c r="C12" t="s">
        <v>1445</v>
      </c>
    </row>
    <row r="13" spans="2:6" x14ac:dyDescent="0.25">
      <c r="B13" t="s">
        <v>1435</v>
      </c>
      <c r="C13" t="s">
        <v>1446</v>
      </c>
    </row>
    <row r="16" spans="2:6" x14ac:dyDescent="0.25">
      <c r="B16" s="9" t="s">
        <v>1447</v>
      </c>
      <c r="C16" s="9" t="s">
        <v>1448</v>
      </c>
      <c r="F16" t="str">
        <f>源数据!AJ130</f>
        <v>头部卖家-顶</v>
      </c>
    </row>
    <row r="17" spans="2:6" x14ac:dyDescent="0.25">
      <c r="B17" s="9" t="s">
        <v>209</v>
      </c>
      <c r="C17" s="9" t="s">
        <v>1449</v>
      </c>
      <c r="F17" t="e">
        <f>源数据!AJ131</f>
        <v>#N/A</v>
      </c>
    </row>
    <row r="18" spans="2:6" x14ac:dyDescent="0.25">
      <c r="B18" s="9" t="s">
        <v>640</v>
      </c>
      <c r="C18" s="9" t="s">
        <v>1450</v>
      </c>
      <c r="F18" t="e">
        <f>源数据!AJ132</f>
        <v>#N/A</v>
      </c>
    </row>
    <row r="19" spans="2:6" x14ac:dyDescent="0.25">
      <c r="B19" s="9" t="s">
        <v>407</v>
      </c>
      <c r="C19" s="9" t="s">
        <v>1451</v>
      </c>
      <c r="F19" t="e">
        <f>源数据!AJ133</f>
        <v>#N/A</v>
      </c>
    </row>
    <row r="20" spans="2:6" x14ac:dyDescent="0.25">
      <c r="B20" s="9" t="s">
        <v>108</v>
      </c>
      <c r="C20" s="9" t="s">
        <v>1452</v>
      </c>
      <c r="F20" t="e">
        <f>源数据!AJ134</f>
        <v>#N/A</v>
      </c>
    </row>
    <row r="21" spans="2:6" x14ac:dyDescent="0.25">
      <c r="B21" s="9" t="s">
        <v>76</v>
      </c>
      <c r="C21" s="9" t="s">
        <v>1453</v>
      </c>
      <c r="F21" t="e">
        <f>源数据!AJ135</f>
        <v>#N/A</v>
      </c>
    </row>
    <row r="22" spans="2:6" x14ac:dyDescent="0.25">
      <c r="B22" s="9" t="s">
        <v>224</v>
      </c>
      <c r="C22" s="9" t="s">
        <v>1454</v>
      </c>
      <c r="F22" t="str">
        <f>源数据!AJ136</f>
        <v>头部卖家-高</v>
      </c>
    </row>
    <row r="23" spans="2:6" x14ac:dyDescent="0.25">
      <c r="B23" s="9" t="s">
        <v>192</v>
      </c>
      <c r="C23" s="9" t="s">
        <v>1455</v>
      </c>
      <c r="F23" t="str">
        <f>源数据!AJ137</f>
        <v>头部卖家-高</v>
      </c>
    </row>
    <row r="24" spans="2:6" x14ac:dyDescent="0.25">
      <c r="B24" s="9" t="s">
        <v>236</v>
      </c>
      <c r="C24" s="9" t="s">
        <v>1456</v>
      </c>
      <c r="F24" t="str">
        <f>源数据!AJ138</f>
        <v>成熟店-较强</v>
      </c>
    </row>
    <row r="25" spans="2:6" x14ac:dyDescent="0.25">
      <c r="B25" s="9" t="s">
        <v>157</v>
      </c>
      <c r="C25" s="9" t="s">
        <v>1457</v>
      </c>
      <c r="F25" t="str">
        <f>源数据!AJ139</f>
        <v>头部卖家-顶</v>
      </c>
    </row>
    <row r="26" spans="2:6" x14ac:dyDescent="0.25">
      <c r="B26" s="9" t="s">
        <v>322</v>
      </c>
      <c r="C26" s="9" t="s">
        <v>1458</v>
      </c>
      <c r="F26" t="e">
        <f>源数据!AJ140</f>
        <v>#N/A</v>
      </c>
    </row>
    <row r="27" spans="2:6" x14ac:dyDescent="0.25">
      <c r="B27" s="9" t="s">
        <v>1459</v>
      </c>
      <c r="C27" s="9" t="s">
        <v>1460</v>
      </c>
      <c r="F27" t="str">
        <f>源数据!AJ141</f>
        <v>头部卖家-高</v>
      </c>
    </row>
    <row r="28" spans="2:6" x14ac:dyDescent="0.25">
      <c r="B28" s="9" t="s">
        <v>468</v>
      </c>
      <c r="C28" s="9" t="s">
        <v>1461</v>
      </c>
      <c r="F28" t="e">
        <f>源数据!AJ142</f>
        <v>#N/A</v>
      </c>
    </row>
    <row r="29" spans="2:6" x14ac:dyDescent="0.25">
      <c r="F29" t="str">
        <f>源数据!AJ143</f>
        <v>头部卖家-高</v>
      </c>
    </row>
    <row r="30" spans="2:6" x14ac:dyDescent="0.25">
      <c r="F30" t="e">
        <f>源数据!AJ144</f>
        <v>#N/A</v>
      </c>
    </row>
    <row r="31" spans="2:6" x14ac:dyDescent="0.25">
      <c r="F31" t="e">
        <f>源数据!AJ145</f>
        <v>#N/A</v>
      </c>
    </row>
    <row r="32" spans="2:6" x14ac:dyDescent="0.25">
      <c r="F32" t="str">
        <f>源数据!AJ146</f>
        <v>成熟店-较强</v>
      </c>
    </row>
    <row r="33" spans="6:6" x14ac:dyDescent="0.25">
      <c r="F33" t="str">
        <f>源数据!AJ147</f>
        <v>成熟店-较强</v>
      </c>
    </row>
    <row r="34" spans="6:6" x14ac:dyDescent="0.25">
      <c r="F34" t="str">
        <f>源数据!AJ148</f>
        <v>成熟店-较强</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P125"/>
  <sheetViews>
    <sheetView topLeftCell="J1" zoomScale="55" zoomScaleNormal="55" workbookViewId="0">
      <selection activeCell="AO126" sqref="AO126"/>
    </sheetView>
  </sheetViews>
  <sheetFormatPr defaultRowHeight="14" x14ac:dyDescent="0.25"/>
  <sheetData>
    <row r="1" spans="1:42" x14ac:dyDescent="0.25">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1418</v>
      </c>
      <c r="AP1" t="s">
        <v>41</v>
      </c>
    </row>
    <row r="2" spans="1:42" x14ac:dyDescent="0.25">
      <c r="A2">
        <v>1</v>
      </c>
      <c r="B2" t="s">
        <v>70</v>
      </c>
      <c r="C2" t="s">
        <v>71</v>
      </c>
      <c r="E2">
        <v>468</v>
      </c>
      <c r="F2" s="1">
        <v>0.3342</v>
      </c>
      <c r="G2">
        <v>156.41999999999999</v>
      </c>
      <c r="H2">
        <v>156.41999999999999</v>
      </c>
      <c r="I2">
        <v>8011</v>
      </c>
      <c r="J2" t="s">
        <v>72</v>
      </c>
      <c r="K2">
        <v>21808</v>
      </c>
      <c r="L2" s="1">
        <v>2.5499999999999998E-2</v>
      </c>
      <c r="M2">
        <v>30590</v>
      </c>
      <c r="N2" s="1">
        <v>2.7E-2</v>
      </c>
      <c r="O2">
        <v>4784887.8</v>
      </c>
      <c r="P2" s="1">
        <v>8.6599999999999996E-2</v>
      </c>
      <c r="Q2">
        <v>173404</v>
      </c>
      <c r="R2">
        <v>649367</v>
      </c>
      <c r="S2" s="1">
        <v>0.26700000000000002</v>
      </c>
      <c r="T2">
        <v>21</v>
      </c>
      <c r="U2">
        <v>3096</v>
      </c>
      <c r="Y2" t="s">
        <v>73</v>
      </c>
      <c r="Z2" t="s">
        <v>74</v>
      </c>
      <c r="AA2" t="s">
        <v>75</v>
      </c>
      <c r="AB2" s="2">
        <v>41953.841782407406</v>
      </c>
      <c r="AC2" t="s">
        <v>76</v>
      </c>
      <c r="AD2" t="s">
        <v>77</v>
      </c>
      <c r="AE2">
        <v>36209</v>
      </c>
      <c r="AF2" t="s">
        <v>78</v>
      </c>
      <c r="AG2" s="1">
        <v>0.98460000000000003</v>
      </c>
      <c r="AH2" t="s">
        <v>79</v>
      </c>
      <c r="AI2" t="s">
        <v>80</v>
      </c>
      <c r="AK2" s="3">
        <v>42240</v>
      </c>
      <c r="AL2" s="4">
        <v>0.92013888888888884</v>
      </c>
      <c r="AM2" t="s">
        <v>81</v>
      </c>
      <c r="AN2" t="s">
        <v>82</v>
      </c>
      <c r="AO2">
        <f>HOUR(AL2)</f>
        <v>22</v>
      </c>
      <c r="AP2" t="s">
        <v>83</v>
      </c>
    </row>
    <row r="3" spans="1:42" x14ac:dyDescent="0.25">
      <c r="A3">
        <v>2</v>
      </c>
      <c r="B3" t="s">
        <v>102</v>
      </c>
      <c r="C3" t="s">
        <v>103</v>
      </c>
      <c r="D3" t="s">
        <v>104</v>
      </c>
      <c r="E3">
        <v>104</v>
      </c>
      <c r="F3" s="1">
        <v>0.1827</v>
      </c>
      <c r="G3">
        <v>19</v>
      </c>
      <c r="H3">
        <v>19</v>
      </c>
      <c r="I3">
        <v>65359</v>
      </c>
      <c r="J3" t="s">
        <v>72</v>
      </c>
      <c r="K3">
        <v>21031</v>
      </c>
      <c r="L3" s="1">
        <v>2.46E-2</v>
      </c>
      <c r="M3">
        <v>35057</v>
      </c>
      <c r="N3" s="1">
        <v>3.09E-2</v>
      </c>
      <c r="O3">
        <v>666083</v>
      </c>
      <c r="P3" s="1">
        <v>1.21E-2</v>
      </c>
      <c r="Q3">
        <v>48530</v>
      </c>
      <c r="R3">
        <v>60393</v>
      </c>
      <c r="S3" s="1">
        <v>0.80359999999999998</v>
      </c>
      <c r="T3">
        <v>9</v>
      </c>
      <c r="U3">
        <v>3435</v>
      </c>
      <c r="Y3" t="s">
        <v>105</v>
      </c>
      <c r="Z3" t="s">
        <v>106</v>
      </c>
      <c r="AA3" t="s">
        <v>107</v>
      </c>
      <c r="AB3" s="2">
        <v>41705.549814814818</v>
      </c>
      <c r="AC3" t="s">
        <v>108</v>
      </c>
      <c r="AD3" t="s">
        <v>109</v>
      </c>
      <c r="AE3">
        <v>2754</v>
      </c>
      <c r="AF3" t="s">
        <v>78</v>
      </c>
      <c r="AG3" s="1">
        <v>0.98170000000000002</v>
      </c>
      <c r="AH3" t="s">
        <v>79</v>
      </c>
      <c r="AI3" t="s">
        <v>80</v>
      </c>
      <c r="AK3" s="3">
        <v>42244</v>
      </c>
      <c r="AL3" s="4">
        <v>0.63888888888888895</v>
      </c>
      <c r="AM3" t="s">
        <v>110</v>
      </c>
      <c r="AN3" t="s">
        <v>111</v>
      </c>
      <c r="AO3">
        <f t="shared" ref="AO3:AO66" si="0">HOUR(AL3)</f>
        <v>15</v>
      </c>
      <c r="AP3" t="s">
        <v>112</v>
      </c>
    </row>
    <row r="4" spans="1:42" x14ac:dyDescent="0.25">
      <c r="A4">
        <v>3</v>
      </c>
      <c r="B4" t="s">
        <v>129</v>
      </c>
      <c r="C4" t="s">
        <v>130</v>
      </c>
      <c r="E4">
        <v>192</v>
      </c>
      <c r="F4" s="1">
        <v>0.1198</v>
      </c>
      <c r="G4">
        <v>23</v>
      </c>
      <c r="H4">
        <v>23</v>
      </c>
      <c r="I4">
        <v>945466</v>
      </c>
      <c r="J4" t="s">
        <v>72</v>
      </c>
      <c r="K4">
        <v>20824</v>
      </c>
      <c r="L4" s="1">
        <v>2.4299999999999999E-2</v>
      </c>
      <c r="M4">
        <v>25429</v>
      </c>
      <c r="N4" s="1">
        <v>2.24E-2</v>
      </c>
      <c r="O4">
        <v>584867</v>
      </c>
      <c r="P4" s="1">
        <v>1.06E-2</v>
      </c>
      <c r="Q4">
        <v>85198</v>
      </c>
      <c r="R4">
        <v>199658</v>
      </c>
      <c r="S4" s="1">
        <v>0.42670000000000002</v>
      </c>
      <c r="T4">
        <v>19</v>
      </c>
      <c r="U4">
        <v>15799</v>
      </c>
      <c r="Y4" t="s">
        <v>131</v>
      </c>
      <c r="Z4" t="s">
        <v>132</v>
      </c>
      <c r="AA4" t="s">
        <v>133</v>
      </c>
      <c r="AB4" s="2">
        <v>41681.994479166664</v>
      </c>
      <c r="AC4" t="s">
        <v>76</v>
      </c>
      <c r="AD4" t="s">
        <v>109</v>
      </c>
      <c r="AE4">
        <v>4594</v>
      </c>
      <c r="AF4" t="s">
        <v>78</v>
      </c>
      <c r="AG4" s="1">
        <v>0.9637</v>
      </c>
      <c r="AH4" t="s">
        <v>79</v>
      </c>
      <c r="AI4" t="s">
        <v>80</v>
      </c>
      <c r="AK4" s="3">
        <v>42242</v>
      </c>
      <c r="AL4" s="4">
        <v>0.90228009259259256</v>
      </c>
      <c r="AM4" t="s">
        <v>134</v>
      </c>
      <c r="AN4" t="s">
        <v>135</v>
      </c>
      <c r="AO4">
        <f t="shared" si="0"/>
        <v>21</v>
      </c>
      <c r="AP4" t="s">
        <v>136</v>
      </c>
    </row>
    <row r="5" spans="1:42" x14ac:dyDescent="0.25">
      <c r="A5">
        <v>4</v>
      </c>
      <c r="B5" t="s">
        <v>151</v>
      </c>
      <c r="C5" t="s">
        <v>152</v>
      </c>
      <c r="D5" t="s">
        <v>153</v>
      </c>
      <c r="E5">
        <v>128</v>
      </c>
      <c r="F5" s="1">
        <v>0.1547</v>
      </c>
      <c r="G5">
        <v>19.8</v>
      </c>
      <c r="H5">
        <v>19.8</v>
      </c>
      <c r="I5">
        <v>733657</v>
      </c>
      <c r="J5" t="s">
        <v>72</v>
      </c>
      <c r="K5">
        <v>17668</v>
      </c>
      <c r="L5" s="1">
        <v>2.06E-2</v>
      </c>
      <c r="M5">
        <v>22725</v>
      </c>
      <c r="N5" s="1">
        <v>0.02</v>
      </c>
      <c r="O5">
        <v>449955</v>
      </c>
      <c r="P5" s="1">
        <v>8.0999999999999996E-3</v>
      </c>
      <c r="Q5">
        <v>105162</v>
      </c>
      <c r="R5" t="s">
        <v>154</v>
      </c>
      <c r="S5" t="s">
        <v>154</v>
      </c>
      <c r="T5">
        <v>179</v>
      </c>
      <c r="U5">
        <v>38269</v>
      </c>
      <c r="Z5" t="s">
        <v>155</v>
      </c>
      <c r="AA5" t="s">
        <v>156</v>
      </c>
      <c r="AB5" s="2">
        <v>41723.450532407405</v>
      </c>
      <c r="AC5" t="s">
        <v>157</v>
      </c>
      <c r="AD5" t="s">
        <v>158</v>
      </c>
      <c r="AE5">
        <v>308260</v>
      </c>
      <c r="AF5" t="s">
        <v>159</v>
      </c>
      <c r="AG5" s="1">
        <v>1</v>
      </c>
      <c r="AH5" t="s">
        <v>79</v>
      </c>
      <c r="AI5" t="s">
        <v>80</v>
      </c>
      <c r="AK5" s="3">
        <v>42245</v>
      </c>
      <c r="AL5" s="4">
        <v>0.42803240740740739</v>
      </c>
      <c r="AM5" t="s">
        <v>160</v>
      </c>
      <c r="AN5" t="s">
        <v>161</v>
      </c>
      <c r="AO5">
        <f t="shared" si="0"/>
        <v>10</v>
      </c>
      <c r="AP5" t="s">
        <v>162</v>
      </c>
    </row>
    <row r="6" spans="1:42" x14ac:dyDescent="0.25">
      <c r="A6">
        <v>5</v>
      </c>
      <c r="B6" t="s">
        <v>173</v>
      </c>
      <c r="C6" t="s">
        <v>174</v>
      </c>
      <c r="D6">
        <v>99</v>
      </c>
      <c r="E6">
        <v>299</v>
      </c>
      <c r="F6" s="1">
        <v>9.9000000000000005E-2</v>
      </c>
      <c r="G6">
        <v>29.6</v>
      </c>
      <c r="H6">
        <v>29.6</v>
      </c>
      <c r="I6">
        <v>20259</v>
      </c>
      <c r="J6" t="s">
        <v>72</v>
      </c>
      <c r="K6">
        <v>17586</v>
      </c>
      <c r="L6" s="1">
        <v>2.0500000000000001E-2</v>
      </c>
      <c r="M6">
        <v>18265</v>
      </c>
      <c r="N6" s="1">
        <v>1.61E-2</v>
      </c>
      <c r="O6">
        <v>540644</v>
      </c>
      <c r="P6" s="1">
        <v>9.7999999999999997E-3</v>
      </c>
      <c r="Q6">
        <v>26748</v>
      </c>
      <c r="R6">
        <v>87202</v>
      </c>
      <c r="S6" s="1">
        <v>0.30669999999999997</v>
      </c>
      <c r="T6">
        <v>2</v>
      </c>
      <c r="U6">
        <v>6214</v>
      </c>
      <c r="Y6" t="s">
        <v>105</v>
      </c>
      <c r="Z6" t="s">
        <v>175</v>
      </c>
      <c r="AA6" t="s">
        <v>176</v>
      </c>
      <c r="AB6" s="2">
        <v>40990.533831018518</v>
      </c>
      <c r="AC6" t="s">
        <v>76</v>
      </c>
      <c r="AD6" t="s">
        <v>177</v>
      </c>
      <c r="AE6">
        <v>3680</v>
      </c>
      <c r="AF6" t="s">
        <v>78</v>
      </c>
      <c r="AG6" s="1">
        <v>0.8931</v>
      </c>
      <c r="AH6" t="s">
        <v>79</v>
      </c>
      <c r="AI6" t="s">
        <v>80</v>
      </c>
      <c r="AK6" s="3">
        <v>42243</v>
      </c>
      <c r="AL6" s="4">
        <v>0.96678240740740751</v>
      </c>
      <c r="AM6" t="s">
        <v>178</v>
      </c>
      <c r="AN6" t="s">
        <v>179</v>
      </c>
      <c r="AO6">
        <f t="shared" si="0"/>
        <v>23</v>
      </c>
      <c r="AP6" t="s">
        <v>180</v>
      </c>
    </row>
    <row r="7" spans="1:42" x14ac:dyDescent="0.25">
      <c r="A7">
        <v>6</v>
      </c>
      <c r="B7" t="s">
        <v>187</v>
      </c>
      <c r="C7" t="s">
        <v>188</v>
      </c>
      <c r="D7">
        <v>136</v>
      </c>
      <c r="E7">
        <v>88</v>
      </c>
      <c r="F7" s="1">
        <v>0.1789</v>
      </c>
      <c r="G7">
        <v>15.74</v>
      </c>
      <c r="H7">
        <v>15.74</v>
      </c>
      <c r="I7">
        <v>5830</v>
      </c>
      <c r="J7" t="s">
        <v>72</v>
      </c>
      <c r="K7">
        <v>16114</v>
      </c>
      <c r="L7" s="1">
        <v>1.8800000000000001E-2</v>
      </c>
      <c r="M7">
        <v>31284</v>
      </c>
      <c r="N7" s="1">
        <v>2.76E-2</v>
      </c>
      <c r="O7">
        <v>492410.16</v>
      </c>
      <c r="P7" s="1">
        <v>8.8999999999999999E-3</v>
      </c>
      <c r="Q7">
        <v>35684</v>
      </c>
      <c r="R7">
        <v>763048</v>
      </c>
      <c r="S7" s="1">
        <v>4.6800000000000001E-2</v>
      </c>
      <c r="T7">
        <v>277</v>
      </c>
      <c r="U7">
        <v>25728</v>
      </c>
      <c r="Y7" t="s">
        <v>189</v>
      </c>
      <c r="Z7" t="s">
        <v>190</v>
      </c>
      <c r="AA7" t="s">
        <v>191</v>
      </c>
      <c r="AB7" s="2">
        <v>40423.859097222223</v>
      </c>
      <c r="AC7" t="s">
        <v>192</v>
      </c>
      <c r="AD7" t="s">
        <v>193</v>
      </c>
      <c r="AE7">
        <v>13776</v>
      </c>
      <c r="AF7" t="s">
        <v>78</v>
      </c>
      <c r="AG7" s="1">
        <v>0.97340000000000004</v>
      </c>
      <c r="AH7" t="s">
        <v>79</v>
      </c>
      <c r="AI7" t="s">
        <v>80</v>
      </c>
      <c r="AK7" s="3">
        <v>42239</v>
      </c>
      <c r="AL7" s="4">
        <v>0.91535879629629635</v>
      </c>
      <c r="AM7" s="5">
        <v>0.15858796296296296</v>
      </c>
      <c r="AN7" t="s">
        <v>194</v>
      </c>
      <c r="AO7">
        <f t="shared" si="0"/>
        <v>21</v>
      </c>
      <c r="AP7" t="s">
        <v>195</v>
      </c>
    </row>
    <row r="8" spans="1:42" x14ac:dyDescent="0.25">
      <c r="A8">
        <v>7</v>
      </c>
      <c r="B8" t="s">
        <v>205</v>
      </c>
      <c r="C8" t="s">
        <v>206</v>
      </c>
      <c r="E8">
        <v>109</v>
      </c>
      <c r="F8" s="1">
        <v>0.2661</v>
      </c>
      <c r="G8">
        <v>29</v>
      </c>
      <c r="H8">
        <v>29</v>
      </c>
      <c r="I8">
        <v>1470592</v>
      </c>
      <c r="J8" t="s">
        <v>72</v>
      </c>
      <c r="K8">
        <v>14988</v>
      </c>
      <c r="L8" s="1">
        <v>1.7500000000000002E-2</v>
      </c>
      <c r="M8">
        <v>25069</v>
      </c>
      <c r="N8" s="1">
        <v>2.2100000000000002E-2</v>
      </c>
      <c r="O8">
        <v>727001</v>
      </c>
      <c r="P8" s="1">
        <v>1.32E-2</v>
      </c>
      <c r="Q8">
        <v>62724</v>
      </c>
      <c r="R8">
        <v>55138</v>
      </c>
      <c r="S8" s="1">
        <v>1.1375999999999999</v>
      </c>
      <c r="T8">
        <v>2</v>
      </c>
      <c r="U8">
        <v>770</v>
      </c>
      <c r="Y8" t="s">
        <v>207</v>
      </c>
      <c r="Z8" t="s">
        <v>175</v>
      </c>
      <c r="AA8" t="s">
        <v>208</v>
      </c>
      <c r="AB8" s="2">
        <v>42183.85527777778</v>
      </c>
      <c r="AC8" t="s">
        <v>209</v>
      </c>
      <c r="AD8" t="s">
        <v>210</v>
      </c>
      <c r="AE8">
        <v>8594</v>
      </c>
      <c r="AF8" t="s">
        <v>78</v>
      </c>
      <c r="AG8" s="1">
        <v>0.9627</v>
      </c>
      <c r="AH8" t="s">
        <v>79</v>
      </c>
      <c r="AI8" t="s">
        <v>80</v>
      </c>
      <c r="AK8" s="3">
        <v>42239</v>
      </c>
      <c r="AL8" s="4">
        <v>0.88596064814814823</v>
      </c>
      <c r="AM8" s="5">
        <v>0.12918981481481481</v>
      </c>
      <c r="AN8" t="s">
        <v>194</v>
      </c>
      <c r="AO8">
        <f t="shared" si="0"/>
        <v>21</v>
      </c>
      <c r="AP8" t="s">
        <v>211</v>
      </c>
    </row>
    <row r="9" spans="1:42" x14ac:dyDescent="0.25">
      <c r="A9">
        <v>8</v>
      </c>
      <c r="B9" t="s">
        <v>221</v>
      </c>
      <c r="C9" t="s">
        <v>222</v>
      </c>
      <c r="E9">
        <v>89</v>
      </c>
      <c r="F9" s="1">
        <v>0.20219999999999999</v>
      </c>
      <c r="G9">
        <v>18</v>
      </c>
      <c r="H9">
        <v>18</v>
      </c>
      <c r="I9">
        <v>2489091</v>
      </c>
      <c r="J9" t="s">
        <v>72</v>
      </c>
      <c r="K9">
        <v>13841</v>
      </c>
      <c r="L9" s="1">
        <v>1.6199999999999999E-2</v>
      </c>
      <c r="M9">
        <v>18282</v>
      </c>
      <c r="N9" s="1">
        <v>1.61E-2</v>
      </c>
      <c r="O9">
        <v>329076</v>
      </c>
      <c r="P9" s="1">
        <v>6.0000000000000001E-3</v>
      </c>
      <c r="Q9">
        <v>38864</v>
      </c>
      <c r="R9">
        <v>29307</v>
      </c>
      <c r="S9" s="1">
        <v>1.3261000000000001</v>
      </c>
      <c r="T9">
        <v>2</v>
      </c>
      <c r="U9">
        <v>5834</v>
      </c>
      <c r="Y9" t="s">
        <v>105</v>
      </c>
      <c r="Z9" t="s">
        <v>175</v>
      </c>
      <c r="AA9" t="s">
        <v>223</v>
      </c>
      <c r="AB9" s="2">
        <v>41571.556886574072</v>
      </c>
      <c r="AC9" t="s">
        <v>224</v>
      </c>
      <c r="AD9" t="s">
        <v>193</v>
      </c>
      <c r="AE9">
        <v>10680</v>
      </c>
      <c r="AF9" t="s">
        <v>78</v>
      </c>
      <c r="AG9" s="1">
        <v>0.97489999999999999</v>
      </c>
      <c r="AH9" t="s">
        <v>79</v>
      </c>
      <c r="AI9" t="s">
        <v>80</v>
      </c>
      <c r="AK9" s="3">
        <v>42240</v>
      </c>
      <c r="AL9" s="4">
        <v>0.65258101851851846</v>
      </c>
      <c r="AM9" s="5">
        <v>0.89581018518518529</v>
      </c>
      <c r="AN9" t="s">
        <v>82</v>
      </c>
      <c r="AO9">
        <f t="shared" si="0"/>
        <v>15</v>
      </c>
      <c r="AP9" t="s">
        <v>225</v>
      </c>
    </row>
    <row r="10" spans="1:42" x14ac:dyDescent="0.25">
      <c r="A10">
        <v>9</v>
      </c>
      <c r="B10" t="s">
        <v>233</v>
      </c>
      <c r="C10" t="s">
        <v>234</v>
      </c>
      <c r="E10">
        <v>118</v>
      </c>
      <c r="F10" s="1">
        <v>0.32200000000000001</v>
      </c>
      <c r="G10">
        <v>38</v>
      </c>
      <c r="H10">
        <v>38</v>
      </c>
      <c r="I10">
        <v>12720</v>
      </c>
      <c r="J10" t="s">
        <v>72</v>
      </c>
      <c r="K10">
        <v>12729</v>
      </c>
      <c r="L10" s="1">
        <v>1.49E-2</v>
      </c>
      <c r="M10">
        <v>14498</v>
      </c>
      <c r="N10" s="1">
        <v>1.2800000000000001E-2</v>
      </c>
      <c r="O10">
        <v>550924</v>
      </c>
      <c r="P10" s="1">
        <v>0.01</v>
      </c>
      <c r="Q10">
        <v>111246</v>
      </c>
      <c r="R10">
        <v>654964</v>
      </c>
      <c r="S10" s="1">
        <v>0.1699</v>
      </c>
      <c r="T10">
        <v>68</v>
      </c>
      <c r="U10">
        <v>15242</v>
      </c>
      <c r="Y10" t="s">
        <v>131</v>
      </c>
      <c r="Z10" t="s">
        <v>175</v>
      </c>
      <c r="AA10" t="s">
        <v>235</v>
      </c>
      <c r="AB10" s="2">
        <v>41112.482210648152</v>
      </c>
      <c r="AC10" t="s">
        <v>236</v>
      </c>
      <c r="AD10" t="s">
        <v>237</v>
      </c>
      <c r="AE10">
        <v>139674</v>
      </c>
      <c r="AF10" t="s">
        <v>78</v>
      </c>
      <c r="AG10" s="1">
        <v>0.9849</v>
      </c>
      <c r="AH10" t="s">
        <v>79</v>
      </c>
      <c r="AI10" t="s">
        <v>80</v>
      </c>
      <c r="AK10" s="3">
        <v>42239</v>
      </c>
      <c r="AL10" s="4">
        <v>0.95984953703703713</v>
      </c>
      <c r="AM10" s="5">
        <v>0.20307870370370371</v>
      </c>
      <c r="AN10" t="s">
        <v>194</v>
      </c>
      <c r="AO10">
        <f t="shared" si="0"/>
        <v>23</v>
      </c>
      <c r="AP10" t="s">
        <v>238</v>
      </c>
    </row>
    <row r="11" spans="1:42" x14ac:dyDescent="0.25">
      <c r="A11">
        <v>10</v>
      </c>
      <c r="B11" t="s">
        <v>247</v>
      </c>
      <c r="C11" t="s">
        <v>248</v>
      </c>
      <c r="D11">
        <v>0</v>
      </c>
      <c r="E11">
        <v>64</v>
      </c>
      <c r="F11" s="1">
        <v>0.3594</v>
      </c>
      <c r="G11">
        <v>23</v>
      </c>
      <c r="H11">
        <v>23</v>
      </c>
      <c r="I11">
        <v>1554</v>
      </c>
      <c r="J11" t="s">
        <v>72</v>
      </c>
      <c r="K11">
        <v>12668</v>
      </c>
      <c r="L11" s="1">
        <v>1.4800000000000001E-2</v>
      </c>
      <c r="M11">
        <v>15400</v>
      </c>
      <c r="N11" s="1">
        <v>1.3599999999999999E-2</v>
      </c>
      <c r="O11">
        <v>354200</v>
      </c>
      <c r="P11" s="1">
        <v>6.4000000000000003E-3</v>
      </c>
      <c r="Q11">
        <v>41830</v>
      </c>
      <c r="R11">
        <v>104826</v>
      </c>
      <c r="S11" s="1">
        <v>0.39900000000000002</v>
      </c>
      <c r="T11">
        <v>5</v>
      </c>
      <c r="U11">
        <v>2857</v>
      </c>
      <c r="Y11" t="s">
        <v>73</v>
      </c>
      <c r="Z11" t="s">
        <v>175</v>
      </c>
      <c r="AA11" t="s">
        <v>249</v>
      </c>
      <c r="AB11" s="2">
        <v>41945.813877314817</v>
      </c>
      <c r="AC11" t="s">
        <v>108</v>
      </c>
      <c r="AD11" t="s">
        <v>237</v>
      </c>
      <c r="AE11">
        <v>3932</v>
      </c>
      <c r="AF11" t="s">
        <v>78</v>
      </c>
      <c r="AG11" s="1">
        <v>0.98019999999999996</v>
      </c>
      <c r="AH11" t="s">
        <v>79</v>
      </c>
      <c r="AI11" t="s">
        <v>80</v>
      </c>
      <c r="AK11" s="3">
        <v>42241</v>
      </c>
      <c r="AL11" s="4">
        <v>0.91723379629629631</v>
      </c>
      <c r="AM11" t="s">
        <v>250</v>
      </c>
      <c r="AN11" t="s">
        <v>251</v>
      </c>
      <c r="AO11">
        <f t="shared" si="0"/>
        <v>22</v>
      </c>
      <c r="AP11" t="s">
        <v>252</v>
      </c>
    </row>
    <row r="12" spans="1:42" x14ac:dyDescent="0.25">
      <c r="A12">
        <v>11</v>
      </c>
      <c r="B12" t="s">
        <v>259</v>
      </c>
      <c r="C12" t="s">
        <v>260</v>
      </c>
      <c r="D12" t="s">
        <v>261</v>
      </c>
      <c r="E12">
        <v>103</v>
      </c>
      <c r="F12" s="1">
        <v>0.56310000000000004</v>
      </c>
      <c r="G12">
        <v>58</v>
      </c>
      <c r="H12">
        <v>58</v>
      </c>
      <c r="I12">
        <v>4545</v>
      </c>
      <c r="J12" t="s">
        <v>72</v>
      </c>
      <c r="K12">
        <v>11097</v>
      </c>
      <c r="L12" s="1">
        <v>1.2999999999999999E-2</v>
      </c>
      <c r="M12">
        <v>13899</v>
      </c>
      <c r="N12" s="1">
        <v>1.23E-2</v>
      </c>
      <c r="O12">
        <v>806142</v>
      </c>
      <c r="P12" s="1">
        <v>1.46E-2</v>
      </c>
      <c r="Q12">
        <v>71664</v>
      </c>
      <c r="R12" t="s">
        <v>154</v>
      </c>
      <c r="S12" t="s">
        <v>154</v>
      </c>
      <c r="T12">
        <v>20</v>
      </c>
      <c r="U12">
        <v>18384</v>
      </c>
      <c r="Z12" t="s">
        <v>175</v>
      </c>
      <c r="AA12" t="s">
        <v>262</v>
      </c>
      <c r="AB12" s="2">
        <v>41478.72587962963</v>
      </c>
      <c r="AC12" t="s">
        <v>192</v>
      </c>
      <c r="AD12" t="s">
        <v>77</v>
      </c>
      <c r="AE12">
        <v>51366</v>
      </c>
      <c r="AF12" t="s">
        <v>159</v>
      </c>
      <c r="AG12" s="1">
        <v>1</v>
      </c>
      <c r="AH12" t="s">
        <v>79</v>
      </c>
      <c r="AI12" t="s">
        <v>80</v>
      </c>
      <c r="AK12" s="3">
        <v>42242</v>
      </c>
      <c r="AL12" s="4">
        <v>0.72231481481481474</v>
      </c>
      <c r="AM12" t="s">
        <v>263</v>
      </c>
      <c r="AN12" t="s">
        <v>135</v>
      </c>
      <c r="AO12">
        <f t="shared" si="0"/>
        <v>17</v>
      </c>
      <c r="AP12" t="s">
        <v>264</v>
      </c>
    </row>
    <row r="13" spans="1:42" x14ac:dyDescent="0.25">
      <c r="A13">
        <v>12</v>
      </c>
      <c r="B13" t="s">
        <v>276</v>
      </c>
      <c r="C13" t="s">
        <v>277</v>
      </c>
      <c r="D13" t="s">
        <v>278</v>
      </c>
      <c r="E13">
        <v>428</v>
      </c>
      <c r="F13" s="1">
        <v>7.51E-2</v>
      </c>
      <c r="G13">
        <v>32.14</v>
      </c>
      <c r="H13">
        <v>32.14</v>
      </c>
      <c r="I13">
        <v>10597</v>
      </c>
      <c r="J13" t="s">
        <v>72</v>
      </c>
      <c r="K13">
        <v>10980</v>
      </c>
      <c r="L13" s="1">
        <v>1.2800000000000001E-2</v>
      </c>
      <c r="M13">
        <v>11642</v>
      </c>
      <c r="N13" s="1">
        <v>1.03E-2</v>
      </c>
      <c r="O13">
        <v>374173.88</v>
      </c>
      <c r="P13" s="1">
        <v>6.7999999999999996E-3</v>
      </c>
      <c r="Q13">
        <v>49080</v>
      </c>
      <c r="R13">
        <v>58539</v>
      </c>
      <c r="S13" s="1">
        <v>0.83840000000000003</v>
      </c>
      <c r="T13">
        <v>3</v>
      </c>
      <c r="U13">
        <v>4712</v>
      </c>
      <c r="Y13" t="s">
        <v>105</v>
      </c>
      <c r="Z13" t="s">
        <v>74</v>
      </c>
      <c r="AA13" t="s">
        <v>279</v>
      </c>
      <c r="AB13" s="2">
        <v>40356.066342592596</v>
      </c>
      <c r="AC13" t="s">
        <v>108</v>
      </c>
      <c r="AD13" t="s">
        <v>237</v>
      </c>
      <c r="AE13">
        <v>2128</v>
      </c>
      <c r="AF13" t="s">
        <v>78</v>
      </c>
      <c r="AG13" s="1">
        <v>0.94799999999999995</v>
      </c>
      <c r="AH13" t="s">
        <v>79</v>
      </c>
      <c r="AI13" t="s">
        <v>80</v>
      </c>
      <c r="AK13" s="3">
        <v>42241</v>
      </c>
      <c r="AL13" s="4">
        <v>0.87515046296296306</v>
      </c>
      <c r="AM13" t="s">
        <v>280</v>
      </c>
      <c r="AN13" t="s">
        <v>251</v>
      </c>
      <c r="AO13">
        <f t="shared" si="0"/>
        <v>21</v>
      </c>
      <c r="AP13" t="s">
        <v>281</v>
      </c>
    </row>
    <row r="14" spans="1:42" x14ac:dyDescent="0.25">
      <c r="A14">
        <v>13</v>
      </c>
      <c r="B14" t="s">
        <v>290</v>
      </c>
      <c r="C14" t="s">
        <v>291</v>
      </c>
      <c r="D14" t="s">
        <v>292</v>
      </c>
      <c r="E14">
        <v>498</v>
      </c>
      <c r="F14" s="1">
        <v>5.96E-2</v>
      </c>
      <c r="G14">
        <v>29.7</v>
      </c>
      <c r="H14">
        <v>29.7</v>
      </c>
      <c r="I14">
        <v>102289</v>
      </c>
      <c r="J14">
        <v>5</v>
      </c>
      <c r="K14">
        <v>10964</v>
      </c>
      <c r="L14" s="1">
        <v>1.2800000000000001E-2</v>
      </c>
      <c r="M14">
        <v>14074</v>
      </c>
      <c r="N14" s="1">
        <v>1.24E-2</v>
      </c>
      <c r="O14">
        <v>417997.8</v>
      </c>
      <c r="P14" s="1">
        <v>7.6E-3</v>
      </c>
      <c r="Q14">
        <v>54144</v>
      </c>
      <c r="R14" t="s">
        <v>154</v>
      </c>
      <c r="S14" t="s">
        <v>154</v>
      </c>
      <c r="T14">
        <v>10</v>
      </c>
      <c r="U14">
        <v>10971</v>
      </c>
      <c r="W14" t="s">
        <v>293</v>
      </c>
      <c r="Z14" t="s">
        <v>74</v>
      </c>
      <c r="AA14" t="s">
        <v>294</v>
      </c>
      <c r="AB14" s="2">
        <v>41746.486747685187</v>
      </c>
      <c r="AC14" t="s">
        <v>192</v>
      </c>
      <c r="AD14" t="s">
        <v>158</v>
      </c>
      <c r="AE14">
        <v>45399</v>
      </c>
      <c r="AF14" t="s">
        <v>159</v>
      </c>
      <c r="AG14" s="1">
        <v>1</v>
      </c>
      <c r="AH14" t="s">
        <v>79</v>
      </c>
      <c r="AI14" t="s">
        <v>80</v>
      </c>
      <c r="AK14" s="3">
        <v>42244</v>
      </c>
      <c r="AL14" s="4">
        <v>0.66400462962962969</v>
      </c>
      <c r="AM14" t="s">
        <v>295</v>
      </c>
      <c r="AN14" t="s">
        <v>111</v>
      </c>
      <c r="AO14">
        <f t="shared" si="0"/>
        <v>15</v>
      </c>
      <c r="AP14" t="s">
        <v>296</v>
      </c>
    </row>
    <row r="15" spans="1:42" x14ac:dyDescent="0.25">
      <c r="A15">
        <v>14</v>
      </c>
      <c r="B15" t="s">
        <v>303</v>
      </c>
      <c r="C15" t="s">
        <v>304</v>
      </c>
      <c r="E15">
        <v>138</v>
      </c>
      <c r="F15" s="1">
        <v>0.22459999999999999</v>
      </c>
      <c r="G15">
        <v>31</v>
      </c>
      <c r="H15">
        <v>31</v>
      </c>
      <c r="I15">
        <v>50031</v>
      </c>
      <c r="J15" t="s">
        <v>72</v>
      </c>
      <c r="K15">
        <v>10740</v>
      </c>
      <c r="L15" s="1">
        <v>1.2500000000000001E-2</v>
      </c>
      <c r="M15">
        <v>12348</v>
      </c>
      <c r="N15" s="1">
        <v>1.09E-2</v>
      </c>
      <c r="O15">
        <v>382788</v>
      </c>
      <c r="P15" s="1">
        <v>6.8999999999999999E-3</v>
      </c>
      <c r="Q15">
        <v>60956</v>
      </c>
      <c r="R15">
        <v>119568</v>
      </c>
      <c r="S15" s="1">
        <v>0.50980000000000003</v>
      </c>
      <c r="T15">
        <v>7</v>
      </c>
      <c r="U15">
        <v>6754</v>
      </c>
      <c r="Y15" t="s">
        <v>305</v>
      </c>
      <c r="Z15" t="s">
        <v>74</v>
      </c>
      <c r="AA15" t="s">
        <v>306</v>
      </c>
      <c r="AB15" s="2">
        <v>41300.350659722222</v>
      </c>
      <c r="AC15" t="s">
        <v>76</v>
      </c>
      <c r="AD15" t="s">
        <v>307</v>
      </c>
      <c r="AE15">
        <v>6812</v>
      </c>
      <c r="AF15" t="s">
        <v>78</v>
      </c>
      <c r="AG15" s="1">
        <v>0.97219999999999995</v>
      </c>
      <c r="AH15" t="s">
        <v>79</v>
      </c>
      <c r="AI15" t="s">
        <v>80</v>
      </c>
      <c r="AK15" s="3">
        <v>42240</v>
      </c>
      <c r="AL15" s="4">
        <v>0.875</v>
      </c>
      <c r="AM15" t="s">
        <v>308</v>
      </c>
      <c r="AN15" t="s">
        <v>82</v>
      </c>
      <c r="AO15">
        <f t="shared" si="0"/>
        <v>21</v>
      </c>
      <c r="AP15" t="s">
        <v>309</v>
      </c>
    </row>
    <row r="16" spans="1:42" x14ac:dyDescent="0.25">
      <c r="A16">
        <v>15</v>
      </c>
      <c r="B16" t="s">
        <v>317</v>
      </c>
      <c r="C16" t="s">
        <v>318</v>
      </c>
      <c r="E16">
        <v>87</v>
      </c>
      <c r="F16" s="1">
        <v>0.8</v>
      </c>
      <c r="G16">
        <v>69.599999999999994</v>
      </c>
      <c r="H16">
        <v>69.599999999999994</v>
      </c>
      <c r="I16">
        <v>1530</v>
      </c>
      <c r="J16" t="s">
        <v>72</v>
      </c>
      <c r="K16">
        <v>10634</v>
      </c>
      <c r="L16" s="1">
        <v>1.24E-2</v>
      </c>
      <c r="M16">
        <v>11950</v>
      </c>
      <c r="N16" s="1">
        <v>1.0500000000000001E-2</v>
      </c>
      <c r="O16">
        <v>831720</v>
      </c>
      <c r="P16" s="1">
        <v>1.5100000000000001E-2</v>
      </c>
      <c r="Q16">
        <v>120364</v>
      </c>
      <c r="R16">
        <v>252509</v>
      </c>
      <c r="S16" s="1">
        <v>0.47670000000000001</v>
      </c>
      <c r="T16">
        <v>4</v>
      </c>
      <c r="U16">
        <v>9848</v>
      </c>
      <c r="W16" t="s">
        <v>319</v>
      </c>
      <c r="Y16" t="s">
        <v>320</v>
      </c>
      <c r="Z16" t="s">
        <v>74</v>
      </c>
      <c r="AA16" t="s">
        <v>321</v>
      </c>
      <c r="AB16" s="2">
        <v>39643.92465277778</v>
      </c>
      <c r="AC16" t="s">
        <v>322</v>
      </c>
      <c r="AD16" t="s">
        <v>323</v>
      </c>
      <c r="AE16">
        <v>1458842</v>
      </c>
      <c r="AF16" t="s">
        <v>78</v>
      </c>
      <c r="AG16" s="1">
        <v>0.98819999999999997</v>
      </c>
      <c r="AH16" t="s">
        <v>79</v>
      </c>
      <c r="AI16" t="s">
        <v>80</v>
      </c>
      <c r="AK16" s="3">
        <v>42239</v>
      </c>
      <c r="AL16" s="4">
        <v>0.92184027777777777</v>
      </c>
      <c r="AM16" s="5">
        <v>0.16506944444444446</v>
      </c>
      <c r="AN16" t="s">
        <v>194</v>
      </c>
      <c r="AO16">
        <f t="shared" si="0"/>
        <v>22</v>
      </c>
      <c r="AP16" t="s">
        <v>324</v>
      </c>
    </row>
    <row r="17" spans="1:42" x14ac:dyDescent="0.25">
      <c r="A17">
        <v>16</v>
      </c>
      <c r="B17" t="s">
        <v>331</v>
      </c>
      <c r="C17" t="s">
        <v>332</v>
      </c>
      <c r="E17">
        <v>262</v>
      </c>
      <c r="F17" s="1">
        <v>9.1600000000000001E-2</v>
      </c>
      <c r="G17">
        <v>24</v>
      </c>
      <c r="H17">
        <v>24</v>
      </c>
      <c r="I17">
        <v>457803</v>
      </c>
      <c r="J17" t="s">
        <v>72</v>
      </c>
      <c r="K17">
        <v>10333</v>
      </c>
      <c r="L17" s="1">
        <v>1.21E-2</v>
      </c>
      <c r="M17">
        <v>11330</v>
      </c>
      <c r="N17" s="1">
        <v>0.01</v>
      </c>
      <c r="O17">
        <v>271920</v>
      </c>
      <c r="P17" s="1">
        <v>4.8999999999999998E-3</v>
      </c>
      <c r="Q17">
        <v>66934</v>
      </c>
      <c r="R17">
        <v>44914</v>
      </c>
      <c r="S17" s="1">
        <v>1.4903</v>
      </c>
      <c r="T17">
        <v>3</v>
      </c>
      <c r="U17">
        <v>2226</v>
      </c>
      <c r="Y17" t="s">
        <v>105</v>
      </c>
      <c r="Z17" t="s">
        <v>175</v>
      </c>
      <c r="AA17" t="s">
        <v>333</v>
      </c>
      <c r="AB17" s="2">
        <v>41568.555879629632</v>
      </c>
      <c r="AC17" t="s">
        <v>224</v>
      </c>
      <c r="AD17" t="s">
        <v>334</v>
      </c>
      <c r="AE17">
        <v>12566</v>
      </c>
      <c r="AF17" t="s">
        <v>78</v>
      </c>
      <c r="AG17" s="1">
        <v>0.94430000000000003</v>
      </c>
      <c r="AH17" t="s">
        <v>79</v>
      </c>
      <c r="AI17" t="s">
        <v>80</v>
      </c>
      <c r="AK17" s="3">
        <v>42245</v>
      </c>
      <c r="AL17" s="4">
        <v>0.91901620370370374</v>
      </c>
      <c r="AM17" t="s">
        <v>335</v>
      </c>
      <c r="AN17" t="s">
        <v>161</v>
      </c>
      <c r="AO17">
        <f t="shared" si="0"/>
        <v>22</v>
      </c>
      <c r="AP17" t="s">
        <v>336</v>
      </c>
    </row>
    <row r="18" spans="1:42" x14ac:dyDescent="0.25">
      <c r="A18">
        <v>17</v>
      </c>
      <c r="B18" t="s">
        <v>342</v>
      </c>
      <c r="C18" t="s">
        <v>343</v>
      </c>
      <c r="D18" t="s">
        <v>344</v>
      </c>
      <c r="E18">
        <v>127</v>
      </c>
      <c r="F18" s="1">
        <v>0.21260000000000001</v>
      </c>
      <c r="G18">
        <v>27</v>
      </c>
      <c r="H18">
        <v>27</v>
      </c>
      <c r="I18">
        <v>185972</v>
      </c>
      <c r="J18" t="s">
        <v>72</v>
      </c>
      <c r="K18">
        <v>10281</v>
      </c>
      <c r="L18" s="1">
        <v>1.2E-2</v>
      </c>
      <c r="M18">
        <v>12390</v>
      </c>
      <c r="N18" s="1">
        <v>1.09E-2</v>
      </c>
      <c r="O18">
        <v>334530</v>
      </c>
      <c r="P18" s="1">
        <v>6.1000000000000004E-3</v>
      </c>
      <c r="Q18">
        <v>85032</v>
      </c>
      <c r="R18">
        <v>77105</v>
      </c>
      <c r="S18" s="1">
        <v>1.1028</v>
      </c>
      <c r="T18">
        <v>9</v>
      </c>
      <c r="U18">
        <v>5282</v>
      </c>
      <c r="W18" t="s">
        <v>345</v>
      </c>
      <c r="Y18" t="s">
        <v>73</v>
      </c>
      <c r="Z18" t="s">
        <v>74</v>
      </c>
      <c r="AA18" t="s">
        <v>346</v>
      </c>
      <c r="AB18" s="2">
        <v>41620.014930555553</v>
      </c>
      <c r="AC18" t="s">
        <v>224</v>
      </c>
      <c r="AD18" t="s">
        <v>307</v>
      </c>
      <c r="AE18">
        <v>31264</v>
      </c>
      <c r="AF18" t="s">
        <v>78</v>
      </c>
      <c r="AG18" s="1">
        <v>0.98580000000000001</v>
      </c>
      <c r="AH18" t="s">
        <v>79</v>
      </c>
      <c r="AI18" t="s">
        <v>80</v>
      </c>
      <c r="AK18" s="3">
        <v>42245</v>
      </c>
      <c r="AL18" s="4">
        <v>0.875</v>
      </c>
      <c r="AM18" t="s">
        <v>347</v>
      </c>
      <c r="AN18" t="s">
        <v>161</v>
      </c>
      <c r="AO18">
        <f t="shared" si="0"/>
        <v>21</v>
      </c>
      <c r="AP18" t="s">
        <v>348</v>
      </c>
    </row>
    <row r="19" spans="1:42" x14ac:dyDescent="0.25">
      <c r="A19">
        <v>18</v>
      </c>
      <c r="B19" t="s">
        <v>355</v>
      </c>
      <c r="C19" t="s">
        <v>356</v>
      </c>
      <c r="E19">
        <v>89</v>
      </c>
      <c r="F19" s="1">
        <v>0.32469999999999999</v>
      </c>
      <c r="G19">
        <v>28.9</v>
      </c>
      <c r="H19">
        <v>28.9</v>
      </c>
      <c r="I19">
        <v>173717</v>
      </c>
      <c r="J19" t="s">
        <v>72</v>
      </c>
      <c r="K19">
        <v>10127</v>
      </c>
      <c r="L19" s="1">
        <v>1.18E-2</v>
      </c>
      <c r="M19">
        <v>13577</v>
      </c>
      <c r="N19" s="1">
        <v>1.2E-2</v>
      </c>
      <c r="O19">
        <v>392375.3</v>
      </c>
      <c r="P19" s="1">
        <v>7.1000000000000004E-3</v>
      </c>
      <c r="Q19">
        <v>29294</v>
      </c>
      <c r="R19">
        <v>57926</v>
      </c>
      <c r="S19" s="1">
        <v>0.50570000000000004</v>
      </c>
      <c r="T19">
        <v>9</v>
      </c>
      <c r="U19">
        <v>4994</v>
      </c>
      <c r="Y19" t="s">
        <v>189</v>
      </c>
      <c r="Z19" t="s">
        <v>74</v>
      </c>
      <c r="AA19" t="s">
        <v>357</v>
      </c>
      <c r="AB19" s="2">
        <v>40771.765266203707</v>
      </c>
      <c r="AC19" t="s">
        <v>224</v>
      </c>
      <c r="AD19" t="s">
        <v>358</v>
      </c>
      <c r="AE19">
        <v>12999</v>
      </c>
      <c r="AF19" t="s">
        <v>78</v>
      </c>
      <c r="AG19" s="1">
        <v>0.98740000000000006</v>
      </c>
      <c r="AH19" t="s">
        <v>79</v>
      </c>
      <c r="AI19" t="s">
        <v>80</v>
      </c>
      <c r="AK19" s="3">
        <v>42241</v>
      </c>
      <c r="AL19" s="4">
        <v>0.67261574074074071</v>
      </c>
      <c r="AM19" t="s">
        <v>359</v>
      </c>
      <c r="AN19" t="s">
        <v>251</v>
      </c>
      <c r="AO19">
        <f t="shared" si="0"/>
        <v>16</v>
      </c>
      <c r="AP19" t="s">
        <v>360</v>
      </c>
    </row>
    <row r="20" spans="1:42" x14ac:dyDescent="0.25">
      <c r="A20">
        <v>19</v>
      </c>
      <c r="B20" t="s">
        <v>366</v>
      </c>
      <c r="C20" t="s">
        <v>367</v>
      </c>
      <c r="E20">
        <v>128</v>
      </c>
      <c r="F20" s="1">
        <v>0.28910000000000002</v>
      </c>
      <c r="G20">
        <v>37</v>
      </c>
      <c r="H20">
        <v>37</v>
      </c>
      <c r="I20">
        <v>680</v>
      </c>
      <c r="J20" t="s">
        <v>72</v>
      </c>
      <c r="K20">
        <v>8894</v>
      </c>
      <c r="L20" s="1">
        <v>1.04E-2</v>
      </c>
      <c r="M20">
        <v>12223</v>
      </c>
      <c r="N20" s="1">
        <v>1.0800000000000001E-2</v>
      </c>
      <c r="O20">
        <v>452251</v>
      </c>
      <c r="P20" s="1">
        <v>8.2000000000000007E-3</v>
      </c>
      <c r="Q20">
        <v>43082</v>
      </c>
      <c r="R20">
        <v>78608</v>
      </c>
      <c r="S20" s="1">
        <v>0.54810000000000003</v>
      </c>
      <c r="T20">
        <v>2</v>
      </c>
      <c r="U20">
        <v>1137</v>
      </c>
      <c r="Y20" t="s">
        <v>131</v>
      </c>
      <c r="Z20" t="s">
        <v>175</v>
      </c>
      <c r="AA20" t="s">
        <v>368</v>
      </c>
      <c r="AB20" s="2">
        <v>41426.388275462959</v>
      </c>
      <c r="AC20" t="s">
        <v>192</v>
      </c>
      <c r="AD20" t="s">
        <v>77</v>
      </c>
      <c r="AE20">
        <v>23117</v>
      </c>
      <c r="AF20" t="s">
        <v>78</v>
      </c>
      <c r="AG20" s="1">
        <v>0.98460000000000003</v>
      </c>
      <c r="AH20" t="s">
        <v>79</v>
      </c>
      <c r="AI20" t="s">
        <v>80</v>
      </c>
      <c r="AK20" s="3">
        <v>42242</v>
      </c>
      <c r="AL20" s="4">
        <v>0.95879629629629637</v>
      </c>
      <c r="AM20" t="s">
        <v>369</v>
      </c>
      <c r="AN20" t="s">
        <v>135</v>
      </c>
      <c r="AO20">
        <f t="shared" si="0"/>
        <v>23</v>
      </c>
      <c r="AP20" t="s">
        <v>370</v>
      </c>
    </row>
    <row r="21" spans="1:42" x14ac:dyDescent="0.25">
      <c r="A21">
        <v>20</v>
      </c>
      <c r="B21" t="s">
        <v>378</v>
      </c>
      <c r="C21" t="s">
        <v>379</v>
      </c>
      <c r="D21" t="s">
        <v>380</v>
      </c>
      <c r="E21">
        <v>988</v>
      </c>
      <c r="F21" s="1">
        <v>0.1615</v>
      </c>
      <c r="G21">
        <v>159.6</v>
      </c>
      <c r="H21">
        <v>159.6</v>
      </c>
      <c r="I21">
        <v>651</v>
      </c>
      <c r="J21" t="s">
        <v>72</v>
      </c>
      <c r="K21">
        <v>8733</v>
      </c>
      <c r="L21" s="1">
        <v>1.0200000000000001E-2</v>
      </c>
      <c r="M21">
        <v>9760</v>
      </c>
      <c r="N21" s="1">
        <v>8.6E-3</v>
      </c>
      <c r="O21">
        <v>1557696</v>
      </c>
      <c r="P21" s="1">
        <v>2.8199999999999999E-2</v>
      </c>
      <c r="Q21">
        <v>73194</v>
      </c>
      <c r="R21">
        <v>690856</v>
      </c>
      <c r="S21" s="1">
        <v>0.10589999999999999</v>
      </c>
      <c r="T21">
        <v>22</v>
      </c>
      <c r="U21">
        <v>5051</v>
      </c>
      <c r="Y21" t="s">
        <v>381</v>
      </c>
      <c r="Z21" t="s">
        <v>74</v>
      </c>
      <c r="AA21" t="s">
        <v>382</v>
      </c>
      <c r="AB21" s="2">
        <v>39874.802187499998</v>
      </c>
      <c r="AC21" t="s">
        <v>224</v>
      </c>
      <c r="AD21" t="s">
        <v>383</v>
      </c>
      <c r="AE21">
        <v>55049</v>
      </c>
      <c r="AF21" t="s">
        <v>78</v>
      </c>
      <c r="AG21" s="1">
        <v>0.9758</v>
      </c>
      <c r="AH21" t="s">
        <v>79</v>
      </c>
      <c r="AI21" t="s">
        <v>80</v>
      </c>
      <c r="AK21" s="3">
        <v>42242</v>
      </c>
      <c r="AL21" s="4">
        <v>0.84722222222222221</v>
      </c>
      <c r="AM21" t="s">
        <v>384</v>
      </c>
      <c r="AN21" t="s">
        <v>135</v>
      </c>
      <c r="AO21">
        <f t="shared" si="0"/>
        <v>20</v>
      </c>
      <c r="AP21" t="s">
        <v>385</v>
      </c>
    </row>
    <row r="22" spans="1:42" x14ac:dyDescent="0.25">
      <c r="A22">
        <v>21</v>
      </c>
      <c r="B22" t="s">
        <v>391</v>
      </c>
      <c r="C22" t="s">
        <v>392</v>
      </c>
      <c r="D22" t="s">
        <v>393</v>
      </c>
      <c r="E22">
        <v>298</v>
      </c>
      <c r="F22" s="1">
        <v>0.29830000000000001</v>
      </c>
      <c r="G22">
        <v>88.9</v>
      </c>
      <c r="H22">
        <v>88.9</v>
      </c>
      <c r="I22">
        <v>8437</v>
      </c>
      <c r="J22" t="s">
        <v>72</v>
      </c>
      <c r="K22">
        <v>8355</v>
      </c>
      <c r="L22" s="1">
        <v>9.7999999999999997E-3</v>
      </c>
      <c r="M22">
        <v>11294</v>
      </c>
      <c r="N22" s="1">
        <v>0.01</v>
      </c>
      <c r="O22">
        <v>1004036.6</v>
      </c>
      <c r="P22" s="1">
        <v>1.8200000000000001E-2</v>
      </c>
      <c r="Q22">
        <v>145106</v>
      </c>
      <c r="R22" t="s">
        <v>154</v>
      </c>
      <c r="S22" t="s">
        <v>154</v>
      </c>
      <c r="T22">
        <v>130</v>
      </c>
      <c r="U22">
        <v>30222</v>
      </c>
      <c r="Z22" t="s">
        <v>74</v>
      </c>
      <c r="AA22" t="s">
        <v>394</v>
      </c>
      <c r="AB22" s="2">
        <v>41592.604097222225</v>
      </c>
      <c r="AC22" t="s">
        <v>236</v>
      </c>
      <c r="AD22" t="s">
        <v>77</v>
      </c>
      <c r="AE22">
        <v>105194</v>
      </c>
      <c r="AF22" t="s">
        <v>159</v>
      </c>
      <c r="AG22" s="1">
        <v>1</v>
      </c>
      <c r="AH22" t="s">
        <v>79</v>
      </c>
      <c r="AI22" t="s">
        <v>80</v>
      </c>
      <c r="AK22" s="3">
        <v>42240</v>
      </c>
      <c r="AL22" s="4">
        <v>0.87575231481481486</v>
      </c>
      <c r="AM22" t="s">
        <v>395</v>
      </c>
      <c r="AN22" t="s">
        <v>82</v>
      </c>
      <c r="AO22">
        <f t="shared" si="0"/>
        <v>21</v>
      </c>
      <c r="AP22" t="s">
        <v>396</v>
      </c>
    </row>
    <row r="23" spans="1:42" x14ac:dyDescent="0.25">
      <c r="A23">
        <v>22</v>
      </c>
      <c r="B23" t="s">
        <v>404</v>
      </c>
      <c r="C23" t="s">
        <v>405</v>
      </c>
      <c r="E23">
        <v>144</v>
      </c>
      <c r="F23" s="1">
        <v>0.30559999999999998</v>
      </c>
      <c r="G23">
        <v>44</v>
      </c>
      <c r="H23">
        <v>44</v>
      </c>
      <c r="I23">
        <v>30212</v>
      </c>
      <c r="J23" t="s">
        <v>72</v>
      </c>
      <c r="K23">
        <v>8328</v>
      </c>
      <c r="L23" s="1">
        <v>9.7000000000000003E-3</v>
      </c>
      <c r="M23">
        <v>13084</v>
      </c>
      <c r="N23" s="1">
        <v>1.15E-2</v>
      </c>
      <c r="O23">
        <v>575696</v>
      </c>
      <c r="P23" s="1">
        <v>1.04E-2</v>
      </c>
      <c r="Q23">
        <v>18992</v>
      </c>
      <c r="R23">
        <v>205427</v>
      </c>
      <c r="S23" s="1">
        <v>9.2499999999999999E-2</v>
      </c>
      <c r="T23">
        <v>9</v>
      </c>
      <c r="U23">
        <v>923</v>
      </c>
      <c r="Y23" t="s">
        <v>105</v>
      </c>
      <c r="Z23" t="s">
        <v>175</v>
      </c>
      <c r="AA23" t="s">
        <v>406</v>
      </c>
      <c r="AB23" s="2">
        <v>41568.53802083333</v>
      </c>
      <c r="AC23" t="s">
        <v>407</v>
      </c>
      <c r="AD23" t="s">
        <v>408</v>
      </c>
      <c r="AE23">
        <v>2296</v>
      </c>
      <c r="AF23" t="s">
        <v>78</v>
      </c>
      <c r="AG23" s="1">
        <v>0.95960000000000001</v>
      </c>
      <c r="AH23" t="s">
        <v>79</v>
      </c>
      <c r="AI23" t="s">
        <v>80</v>
      </c>
      <c r="AK23" s="3">
        <v>42243</v>
      </c>
      <c r="AL23" s="4">
        <v>0.45844907407407409</v>
      </c>
      <c r="AM23" t="s">
        <v>409</v>
      </c>
      <c r="AN23" t="s">
        <v>179</v>
      </c>
      <c r="AO23">
        <f t="shared" si="0"/>
        <v>11</v>
      </c>
      <c r="AP23" t="s">
        <v>410</v>
      </c>
    </row>
    <row r="24" spans="1:42" x14ac:dyDescent="0.25">
      <c r="A24">
        <v>23</v>
      </c>
      <c r="B24" t="s">
        <v>416</v>
      </c>
      <c r="C24" t="s">
        <v>417</v>
      </c>
      <c r="E24">
        <v>139</v>
      </c>
      <c r="F24" s="1">
        <v>0.17269999999999999</v>
      </c>
      <c r="G24">
        <v>24</v>
      </c>
      <c r="H24">
        <v>24</v>
      </c>
      <c r="I24">
        <v>152744</v>
      </c>
      <c r="J24" t="s">
        <v>72</v>
      </c>
      <c r="K24">
        <v>8296</v>
      </c>
      <c r="L24" s="1">
        <v>9.7000000000000003E-3</v>
      </c>
      <c r="M24">
        <v>9094</v>
      </c>
      <c r="N24" s="1">
        <v>8.0000000000000002E-3</v>
      </c>
      <c r="O24">
        <v>218256</v>
      </c>
      <c r="P24" s="1">
        <v>4.0000000000000001E-3</v>
      </c>
      <c r="Q24">
        <v>61206</v>
      </c>
      <c r="R24">
        <v>88663</v>
      </c>
      <c r="S24" s="1">
        <v>0.69030000000000002</v>
      </c>
      <c r="T24">
        <v>2</v>
      </c>
      <c r="U24">
        <v>7632</v>
      </c>
      <c r="Y24" t="s">
        <v>105</v>
      </c>
      <c r="Z24" t="s">
        <v>175</v>
      </c>
      <c r="AA24" t="s">
        <v>333</v>
      </c>
      <c r="AB24" s="2">
        <v>41568.555879629632</v>
      </c>
      <c r="AC24" t="s">
        <v>224</v>
      </c>
      <c r="AD24" t="s">
        <v>334</v>
      </c>
      <c r="AE24">
        <v>12566</v>
      </c>
      <c r="AF24" t="s">
        <v>78</v>
      </c>
      <c r="AG24" s="1">
        <v>0.94430000000000003</v>
      </c>
      <c r="AH24" t="s">
        <v>79</v>
      </c>
      <c r="AI24" t="s">
        <v>80</v>
      </c>
      <c r="AK24" s="3">
        <v>42239</v>
      </c>
      <c r="AL24" s="4">
        <v>0.91447916666666673</v>
      </c>
      <c r="AM24" s="5">
        <v>0.15770833333333334</v>
      </c>
      <c r="AN24" t="s">
        <v>194</v>
      </c>
      <c r="AO24">
        <f t="shared" si="0"/>
        <v>21</v>
      </c>
      <c r="AP24" t="s">
        <v>418</v>
      </c>
    </row>
    <row r="25" spans="1:42" x14ac:dyDescent="0.25">
      <c r="A25">
        <v>24</v>
      </c>
      <c r="B25" t="s">
        <v>423</v>
      </c>
      <c r="C25" t="s">
        <v>424</v>
      </c>
      <c r="D25">
        <v>1005</v>
      </c>
      <c r="E25">
        <v>336</v>
      </c>
      <c r="F25" s="1">
        <v>0.52980000000000005</v>
      </c>
      <c r="G25">
        <v>178</v>
      </c>
      <c r="H25">
        <v>178</v>
      </c>
      <c r="I25">
        <v>5433</v>
      </c>
      <c r="J25" t="s">
        <v>72</v>
      </c>
      <c r="K25">
        <v>8293</v>
      </c>
      <c r="L25" s="1">
        <v>9.7000000000000003E-3</v>
      </c>
      <c r="M25">
        <v>10574</v>
      </c>
      <c r="N25" s="1">
        <v>9.2999999999999992E-3</v>
      </c>
      <c r="O25">
        <v>1882172</v>
      </c>
      <c r="P25" s="1">
        <v>3.4099999999999998E-2</v>
      </c>
      <c r="Q25">
        <v>154226</v>
      </c>
      <c r="R25">
        <v>749378</v>
      </c>
      <c r="S25" s="1">
        <v>0.20580000000000001</v>
      </c>
      <c r="T25">
        <v>78</v>
      </c>
      <c r="U25">
        <v>2177</v>
      </c>
      <c r="Y25" t="s">
        <v>425</v>
      </c>
      <c r="Z25" t="s">
        <v>74</v>
      </c>
      <c r="AA25" t="s">
        <v>426</v>
      </c>
      <c r="AB25" s="2">
        <v>41902.902025462965</v>
      </c>
      <c r="AC25" t="s">
        <v>108</v>
      </c>
      <c r="AD25" t="s">
        <v>307</v>
      </c>
      <c r="AE25">
        <v>37061</v>
      </c>
      <c r="AF25" t="s">
        <v>78</v>
      </c>
      <c r="AG25" s="1">
        <v>0.97909999999999997</v>
      </c>
      <c r="AH25" t="s">
        <v>79</v>
      </c>
      <c r="AI25" t="s">
        <v>80</v>
      </c>
      <c r="AK25" s="3">
        <v>42244</v>
      </c>
      <c r="AL25" s="4">
        <v>0.91806712962962955</v>
      </c>
      <c r="AM25" t="s">
        <v>427</v>
      </c>
      <c r="AN25" t="s">
        <v>111</v>
      </c>
      <c r="AO25">
        <f t="shared" si="0"/>
        <v>22</v>
      </c>
      <c r="AP25" t="s">
        <v>428</v>
      </c>
    </row>
    <row r="26" spans="1:42" x14ac:dyDescent="0.25">
      <c r="A26">
        <v>25</v>
      </c>
      <c r="B26" t="s">
        <v>435</v>
      </c>
      <c r="C26" t="s">
        <v>436</v>
      </c>
      <c r="D26" t="s">
        <v>437</v>
      </c>
      <c r="E26">
        <v>128</v>
      </c>
      <c r="F26" s="1">
        <v>0.23200000000000001</v>
      </c>
      <c r="G26">
        <v>29.7</v>
      </c>
      <c r="H26">
        <v>29.7</v>
      </c>
      <c r="I26">
        <v>24279</v>
      </c>
      <c r="J26">
        <v>5</v>
      </c>
      <c r="K26">
        <v>8239</v>
      </c>
      <c r="L26" s="1">
        <v>9.5999999999999992E-3</v>
      </c>
      <c r="M26">
        <v>10091</v>
      </c>
      <c r="N26" s="1">
        <v>8.8999999999999999E-3</v>
      </c>
      <c r="O26">
        <v>299702.7</v>
      </c>
      <c r="P26" s="1">
        <v>5.4000000000000003E-3</v>
      </c>
      <c r="Q26">
        <v>19022</v>
      </c>
      <c r="R26" t="s">
        <v>154</v>
      </c>
      <c r="S26" t="s">
        <v>154</v>
      </c>
      <c r="T26">
        <v>1</v>
      </c>
      <c r="U26">
        <v>3941</v>
      </c>
      <c r="W26" t="s">
        <v>293</v>
      </c>
      <c r="Z26" t="s">
        <v>74</v>
      </c>
      <c r="AA26" t="s">
        <v>294</v>
      </c>
      <c r="AB26" s="2">
        <v>41746.486747685187</v>
      </c>
      <c r="AC26" t="s">
        <v>192</v>
      </c>
      <c r="AD26" t="s">
        <v>158</v>
      </c>
      <c r="AE26">
        <v>45399</v>
      </c>
      <c r="AF26" t="s">
        <v>159</v>
      </c>
      <c r="AG26" s="1">
        <v>1</v>
      </c>
      <c r="AH26" t="s">
        <v>79</v>
      </c>
      <c r="AI26" t="s">
        <v>80</v>
      </c>
      <c r="AK26" s="3">
        <v>42241</v>
      </c>
      <c r="AL26" s="4">
        <v>0.86111111111111116</v>
      </c>
      <c r="AM26" t="s">
        <v>438</v>
      </c>
      <c r="AN26" t="s">
        <v>251</v>
      </c>
      <c r="AO26">
        <f t="shared" si="0"/>
        <v>20</v>
      </c>
      <c r="AP26" t="s">
        <v>439</v>
      </c>
    </row>
    <row r="27" spans="1:42" x14ac:dyDescent="0.25">
      <c r="A27">
        <v>26</v>
      </c>
      <c r="B27" t="s">
        <v>447</v>
      </c>
      <c r="C27" t="s">
        <v>448</v>
      </c>
      <c r="D27" t="s">
        <v>449</v>
      </c>
      <c r="E27">
        <v>128</v>
      </c>
      <c r="F27" s="1">
        <v>0.1547</v>
      </c>
      <c r="G27">
        <v>19.8</v>
      </c>
      <c r="H27">
        <v>19.8</v>
      </c>
      <c r="I27">
        <v>13683</v>
      </c>
      <c r="J27" t="s">
        <v>72</v>
      </c>
      <c r="K27">
        <v>7986</v>
      </c>
      <c r="L27" s="1">
        <v>9.2999999999999992E-3</v>
      </c>
      <c r="M27">
        <v>10582</v>
      </c>
      <c r="N27" s="1">
        <v>9.2999999999999992E-3</v>
      </c>
      <c r="O27">
        <v>209523.6</v>
      </c>
      <c r="P27" s="1">
        <v>3.8E-3</v>
      </c>
      <c r="Q27">
        <v>29880</v>
      </c>
      <c r="R27" t="s">
        <v>154</v>
      </c>
      <c r="S27" t="s">
        <v>154</v>
      </c>
      <c r="T27">
        <v>7</v>
      </c>
      <c r="U27">
        <v>9696</v>
      </c>
      <c r="Z27" t="s">
        <v>155</v>
      </c>
      <c r="AA27" t="s">
        <v>156</v>
      </c>
      <c r="AB27" s="2">
        <v>41723.450532407405</v>
      </c>
      <c r="AC27" t="s">
        <v>157</v>
      </c>
      <c r="AD27" t="s">
        <v>158</v>
      </c>
      <c r="AE27">
        <v>308260</v>
      </c>
      <c r="AF27" t="s">
        <v>159</v>
      </c>
      <c r="AG27" s="1">
        <v>1</v>
      </c>
      <c r="AH27" t="s">
        <v>79</v>
      </c>
      <c r="AI27" t="s">
        <v>80</v>
      </c>
      <c r="AK27" s="3">
        <v>42243</v>
      </c>
      <c r="AL27" s="4">
        <v>0.4196064814814815</v>
      </c>
      <c r="AM27" t="s">
        <v>450</v>
      </c>
      <c r="AN27" t="s">
        <v>179</v>
      </c>
      <c r="AO27">
        <f t="shared" si="0"/>
        <v>10</v>
      </c>
      <c r="AP27" t="s">
        <v>451</v>
      </c>
    </row>
    <row r="28" spans="1:42" x14ac:dyDescent="0.25">
      <c r="A28">
        <v>27</v>
      </c>
      <c r="B28" t="s">
        <v>455</v>
      </c>
      <c r="C28" t="s">
        <v>456</v>
      </c>
      <c r="E28">
        <v>78</v>
      </c>
      <c r="F28" s="1">
        <v>0.48720000000000002</v>
      </c>
      <c r="G28">
        <v>38</v>
      </c>
      <c r="H28">
        <v>38</v>
      </c>
      <c r="I28">
        <v>268870</v>
      </c>
      <c r="J28" t="s">
        <v>72</v>
      </c>
      <c r="K28">
        <v>7916</v>
      </c>
      <c r="L28" s="1">
        <v>9.1999999999999998E-3</v>
      </c>
      <c r="M28">
        <v>9298</v>
      </c>
      <c r="N28" s="1">
        <v>8.2000000000000007E-3</v>
      </c>
      <c r="O28">
        <v>353324</v>
      </c>
      <c r="P28" s="1">
        <v>6.4000000000000003E-3</v>
      </c>
      <c r="Q28">
        <v>21184</v>
      </c>
      <c r="R28">
        <v>54126</v>
      </c>
      <c r="S28" s="1">
        <v>0.39140000000000003</v>
      </c>
      <c r="T28">
        <v>15</v>
      </c>
      <c r="U28">
        <v>3152</v>
      </c>
      <c r="Y28" t="s">
        <v>189</v>
      </c>
      <c r="Z28" t="s">
        <v>175</v>
      </c>
      <c r="AA28" t="s">
        <v>457</v>
      </c>
      <c r="AB28" s="2">
        <v>41586.934386574074</v>
      </c>
      <c r="AC28" t="s">
        <v>224</v>
      </c>
      <c r="AD28" t="s">
        <v>458</v>
      </c>
      <c r="AE28">
        <v>8607</v>
      </c>
      <c r="AF28" t="s">
        <v>78</v>
      </c>
      <c r="AG28" s="1">
        <v>0.94940000000000002</v>
      </c>
      <c r="AH28" t="s">
        <v>79</v>
      </c>
      <c r="AI28" t="s">
        <v>80</v>
      </c>
      <c r="AK28" s="3">
        <v>42240</v>
      </c>
      <c r="AL28" s="4">
        <v>0.44097222222222227</v>
      </c>
      <c r="AM28" s="5">
        <v>0.68420138888888893</v>
      </c>
      <c r="AN28" t="s">
        <v>82</v>
      </c>
      <c r="AO28">
        <f t="shared" si="0"/>
        <v>10</v>
      </c>
      <c r="AP28" t="s">
        <v>459</v>
      </c>
    </row>
    <row r="29" spans="1:42" x14ac:dyDescent="0.25">
      <c r="A29">
        <v>28</v>
      </c>
      <c r="B29" t="s">
        <v>464</v>
      </c>
      <c r="C29" t="s">
        <v>465</v>
      </c>
      <c r="E29">
        <v>110</v>
      </c>
      <c r="F29" s="1">
        <v>0.49</v>
      </c>
      <c r="G29">
        <v>53.9</v>
      </c>
      <c r="H29">
        <v>53.9</v>
      </c>
      <c r="I29">
        <v>3457</v>
      </c>
      <c r="J29" t="s">
        <v>72</v>
      </c>
      <c r="K29">
        <v>7704</v>
      </c>
      <c r="L29" s="1">
        <v>8.9999999999999993E-3</v>
      </c>
      <c r="M29">
        <v>8426</v>
      </c>
      <c r="N29" s="1">
        <v>7.4000000000000003E-3</v>
      </c>
      <c r="O29">
        <v>454161.4</v>
      </c>
      <c r="P29" s="1">
        <v>8.2000000000000007E-3</v>
      </c>
      <c r="Q29">
        <v>73858</v>
      </c>
      <c r="R29">
        <v>638129</v>
      </c>
      <c r="S29" s="1">
        <v>0.1157</v>
      </c>
      <c r="T29">
        <v>57</v>
      </c>
      <c r="U29">
        <v>11990</v>
      </c>
      <c r="Y29" t="s">
        <v>466</v>
      </c>
      <c r="Z29" t="s">
        <v>74</v>
      </c>
      <c r="AA29" t="s">
        <v>467</v>
      </c>
      <c r="AB29" s="2">
        <v>39140.893240740741</v>
      </c>
      <c r="AC29" t="s">
        <v>468</v>
      </c>
      <c r="AD29" t="s">
        <v>307</v>
      </c>
      <c r="AE29">
        <v>4387178</v>
      </c>
      <c r="AF29" t="s">
        <v>78</v>
      </c>
      <c r="AG29" s="1">
        <v>0.9879</v>
      </c>
      <c r="AH29" t="s">
        <v>79</v>
      </c>
      <c r="AI29" t="s">
        <v>80</v>
      </c>
      <c r="AK29" s="3">
        <v>42242</v>
      </c>
      <c r="AL29" s="4">
        <v>0.41898148148148145</v>
      </c>
      <c r="AM29" t="s">
        <v>469</v>
      </c>
      <c r="AN29" t="s">
        <v>135</v>
      </c>
      <c r="AO29">
        <f t="shared" si="0"/>
        <v>10</v>
      </c>
      <c r="AP29" t="s">
        <v>470</v>
      </c>
    </row>
    <row r="30" spans="1:42" x14ac:dyDescent="0.25">
      <c r="A30">
        <v>29</v>
      </c>
      <c r="B30" t="s">
        <v>477</v>
      </c>
      <c r="C30" t="s">
        <v>478</v>
      </c>
      <c r="E30">
        <v>43</v>
      </c>
      <c r="F30" s="1">
        <v>0.4884</v>
      </c>
      <c r="G30">
        <v>21</v>
      </c>
      <c r="H30">
        <v>21</v>
      </c>
      <c r="I30">
        <v>17788</v>
      </c>
      <c r="J30" t="s">
        <v>72</v>
      </c>
      <c r="K30">
        <v>7573</v>
      </c>
      <c r="L30" s="1">
        <v>8.8000000000000005E-3</v>
      </c>
      <c r="M30">
        <v>8794</v>
      </c>
      <c r="N30" s="1">
        <v>7.7999999999999996E-3</v>
      </c>
      <c r="O30">
        <v>184674</v>
      </c>
      <c r="P30" s="1">
        <v>3.3E-3</v>
      </c>
      <c r="Q30">
        <v>26472</v>
      </c>
      <c r="R30">
        <v>28697</v>
      </c>
      <c r="S30" s="1">
        <v>0.92249999999999999</v>
      </c>
      <c r="T30">
        <v>7</v>
      </c>
      <c r="U30">
        <v>1892</v>
      </c>
      <c r="Y30" t="s">
        <v>466</v>
      </c>
      <c r="Z30" t="s">
        <v>175</v>
      </c>
      <c r="AA30" t="s">
        <v>479</v>
      </c>
      <c r="AB30" s="2">
        <v>41733.53297453704</v>
      </c>
      <c r="AC30" t="s">
        <v>407</v>
      </c>
      <c r="AD30" t="s">
        <v>237</v>
      </c>
      <c r="AE30">
        <v>6583</v>
      </c>
      <c r="AF30" t="s">
        <v>78</v>
      </c>
      <c r="AG30" s="1">
        <v>0.97770000000000001</v>
      </c>
      <c r="AH30" t="s">
        <v>79</v>
      </c>
      <c r="AI30" t="s">
        <v>80</v>
      </c>
      <c r="AK30" s="3">
        <v>42245</v>
      </c>
      <c r="AL30" s="4">
        <v>0.63194444444444442</v>
      </c>
      <c r="AM30" t="s">
        <v>480</v>
      </c>
      <c r="AN30" t="s">
        <v>161</v>
      </c>
      <c r="AO30">
        <f t="shared" si="0"/>
        <v>15</v>
      </c>
      <c r="AP30" t="s">
        <v>481</v>
      </c>
    </row>
    <row r="31" spans="1:42" x14ac:dyDescent="0.25">
      <c r="A31">
        <v>30</v>
      </c>
      <c r="B31" t="s">
        <v>487</v>
      </c>
      <c r="C31" t="s">
        <v>488</v>
      </c>
      <c r="D31">
        <v>1305</v>
      </c>
      <c r="E31">
        <v>128</v>
      </c>
      <c r="F31" s="1">
        <v>0.1779</v>
      </c>
      <c r="G31">
        <v>22.77</v>
      </c>
      <c r="H31">
        <v>22.77</v>
      </c>
      <c r="I31">
        <v>5070</v>
      </c>
      <c r="J31" t="s">
        <v>72</v>
      </c>
      <c r="K31">
        <v>7510</v>
      </c>
      <c r="L31" s="1">
        <v>8.8000000000000005E-3</v>
      </c>
      <c r="M31">
        <v>15345</v>
      </c>
      <c r="N31" s="1">
        <v>1.35E-2</v>
      </c>
      <c r="O31">
        <v>349405.65</v>
      </c>
      <c r="P31" s="1">
        <v>6.3E-3</v>
      </c>
      <c r="Q31">
        <v>28944</v>
      </c>
      <c r="R31">
        <v>482843</v>
      </c>
      <c r="S31" s="1">
        <v>5.9900000000000002E-2</v>
      </c>
      <c r="T31">
        <v>620</v>
      </c>
      <c r="U31">
        <v>12841</v>
      </c>
      <c r="Y31" t="s">
        <v>73</v>
      </c>
      <c r="Z31" t="s">
        <v>190</v>
      </c>
      <c r="AA31" t="s">
        <v>489</v>
      </c>
      <c r="AB31" s="2">
        <v>41423.360914351855</v>
      </c>
      <c r="AC31" t="s">
        <v>224</v>
      </c>
      <c r="AD31" t="s">
        <v>193</v>
      </c>
      <c r="AE31">
        <v>5740</v>
      </c>
      <c r="AF31" t="s">
        <v>78</v>
      </c>
      <c r="AG31" s="1">
        <v>0.99270000000000003</v>
      </c>
      <c r="AH31" t="s">
        <v>79</v>
      </c>
      <c r="AI31" t="s">
        <v>80</v>
      </c>
      <c r="AK31" s="3">
        <v>42239</v>
      </c>
      <c r="AL31" s="4">
        <v>0.86365740740740737</v>
      </c>
      <c r="AM31" s="5">
        <v>0.10688657407407408</v>
      </c>
      <c r="AN31" t="s">
        <v>194</v>
      </c>
      <c r="AO31">
        <f t="shared" si="0"/>
        <v>20</v>
      </c>
      <c r="AP31" t="s">
        <v>490</v>
      </c>
    </row>
    <row r="32" spans="1:42" x14ac:dyDescent="0.25">
      <c r="A32">
        <v>31</v>
      </c>
      <c r="B32" t="s">
        <v>498</v>
      </c>
      <c r="C32" t="s">
        <v>499</v>
      </c>
      <c r="E32">
        <v>111</v>
      </c>
      <c r="F32" s="1">
        <v>0.2432</v>
      </c>
      <c r="G32">
        <v>27</v>
      </c>
      <c r="H32">
        <v>27</v>
      </c>
      <c r="I32">
        <v>26367</v>
      </c>
      <c r="J32" t="s">
        <v>72</v>
      </c>
      <c r="K32">
        <v>7452</v>
      </c>
      <c r="L32" s="1">
        <v>8.6999999999999994E-3</v>
      </c>
      <c r="M32">
        <v>7822</v>
      </c>
      <c r="N32" s="1">
        <v>6.8999999999999999E-3</v>
      </c>
      <c r="O32">
        <v>211194</v>
      </c>
      <c r="P32" s="1">
        <v>3.8E-3</v>
      </c>
      <c r="Q32">
        <v>36440</v>
      </c>
      <c r="R32">
        <v>73622</v>
      </c>
      <c r="S32" s="1">
        <v>0.495</v>
      </c>
      <c r="T32">
        <v>6</v>
      </c>
      <c r="U32">
        <v>4974</v>
      </c>
      <c r="Y32" t="s">
        <v>189</v>
      </c>
      <c r="Z32" t="s">
        <v>175</v>
      </c>
      <c r="AA32" t="s">
        <v>500</v>
      </c>
      <c r="AB32" s="2">
        <v>41738.736759259256</v>
      </c>
      <c r="AC32" t="s">
        <v>76</v>
      </c>
      <c r="AD32" t="s">
        <v>109</v>
      </c>
      <c r="AE32">
        <v>5722</v>
      </c>
      <c r="AF32" t="s">
        <v>78</v>
      </c>
      <c r="AG32" s="1">
        <v>0.96989999999999998</v>
      </c>
      <c r="AH32" t="s">
        <v>79</v>
      </c>
      <c r="AI32" t="s">
        <v>80</v>
      </c>
      <c r="AK32" s="3">
        <v>42239</v>
      </c>
      <c r="AL32" s="4">
        <v>0.92021990740740733</v>
      </c>
      <c r="AM32" s="5">
        <v>0.16344907407407408</v>
      </c>
      <c r="AN32" t="s">
        <v>194</v>
      </c>
      <c r="AO32">
        <f t="shared" si="0"/>
        <v>22</v>
      </c>
      <c r="AP32" t="s">
        <v>501</v>
      </c>
    </row>
    <row r="33" spans="1:42" x14ac:dyDescent="0.25">
      <c r="A33">
        <v>32</v>
      </c>
      <c r="B33" t="s">
        <v>505</v>
      </c>
      <c r="C33" t="s">
        <v>506</v>
      </c>
      <c r="D33" t="s">
        <v>507</v>
      </c>
      <c r="E33">
        <v>88</v>
      </c>
      <c r="F33" s="1">
        <v>0.2727</v>
      </c>
      <c r="G33">
        <v>24</v>
      </c>
      <c r="H33">
        <v>24</v>
      </c>
      <c r="I33">
        <v>69092</v>
      </c>
      <c r="J33" t="s">
        <v>72</v>
      </c>
      <c r="K33">
        <v>7395</v>
      </c>
      <c r="L33" s="1">
        <v>8.6E-3</v>
      </c>
      <c r="M33">
        <v>8631</v>
      </c>
      <c r="N33" s="1">
        <v>7.6E-3</v>
      </c>
      <c r="O33">
        <v>207144</v>
      </c>
      <c r="P33" s="1">
        <v>3.7000000000000002E-3</v>
      </c>
      <c r="Q33">
        <v>10296</v>
      </c>
      <c r="R33" t="s">
        <v>154</v>
      </c>
      <c r="S33" t="s">
        <v>154</v>
      </c>
      <c r="T33">
        <v>1</v>
      </c>
      <c r="U33">
        <v>2886</v>
      </c>
      <c r="Z33" t="s">
        <v>74</v>
      </c>
      <c r="AA33" t="s">
        <v>508</v>
      </c>
      <c r="AB33" s="2">
        <v>41466.551851851851</v>
      </c>
      <c r="AC33" t="s">
        <v>192</v>
      </c>
      <c r="AD33" t="s">
        <v>193</v>
      </c>
      <c r="AE33">
        <v>15369</v>
      </c>
      <c r="AF33" t="s">
        <v>159</v>
      </c>
      <c r="AG33" s="1">
        <v>1</v>
      </c>
      <c r="AH33" t="s">
        <v>79</v>
      </c>
      <c r="AI33" t="s">
        <v>80</v>
      </c>
      <c r="AK33" s="3">
        <v>42241</v>
      </c>
      <c r="AL33" s="4">
        <v>0.78923611111111114</v>
      </c>
      <c r="AM33" t="s">
        <v>509</v>
      </c>
      <c r="AN33" t="s">
        <v>251</v>
      </c>
      <c r="AO33">
        <f t="shared" si="0"/>
        <v>18</v>
      </c>
      <c r="AP33" t="s">
        <v>510</v>
      </c>
    </row>
    <row r="34" spans="1:42" x14ac:dyDescent="0.25">
      <c r="A34">
        <v>33</v>
      </c>
      <c r="B34" t="s">
        <v>519</v>
      </c>
      <c r="C34" t="s">
        <v>520</v>
      </c>
      <c r="D34">
        <v>25</v>
      </c>
      <c r="E34">
        <v>680</v>
      </c>
      <c r="F34" s="1">
        <v>0.115</v>
      </c>
      <c r="G34">
        <v>78.209999999999994</v>
      </c>
      <c r="H34">
        <v>78.209999999999994</v>
      </c>
      <c r="I34">
        <v>8081</v>
      </c>
      <c r="J34" t="s">
        <v>72</v>
      </c>
      <c r="K34">
        <v>7393</v>
      </c>
      <c r="L34" s="1">
        <v>8.6E-3</v>
      </c>
      <c r="M34">
        <v>7936</v>
      </c>
      <c r="N34" s="1">
        <v>7.0000000000000001E-3</v>
      </c>
      <c r="O34">
        <v>620674.56000000006</v>
      </c>
      <c r="P34" s="1">
        <v>1.12E-2</v>
      </c>
      <c r="Q34">
        <v>37774</v>
      </c>
      <c r="R34">
        <v>57050</v>
      </c>
      <c r="S34" s="1">
        <v>0.66210000000000002</v>
      </c>
      <c r="T34">
        <v>5</v>
      </c>
      <c r="U34">
        <v>2592</v>
      </c>
      <c r="Y34" t="s">
        <v>105</v>
      </c>
      <c r="Z34" t="s">
        <v>175</v>
      </c>
      <c r="AA34" t="s">
        <v>521</v>
      </c>
      <c r="AB34" s="2">
        <v>41052.814976851849</v>
      </c>
      <c r="AC34" t="s">
        <v>224</v>
      </c>
      <c r="AD34" t="s">
        <v>383</v>
      </c>
      <c r="AE34">
        <v>70278</v>
      </c>
      <c r="AF34" t="s">
        <v>78</v>
      </c>
      <c r="AG34" s="1">
        <v>0.98129999999999995</v>
      </c>
      <c r="AH34" t="s">
        <v>79</v>
      </c>
      <c r="AI34" t="s">
        <v>80</v>
      </c>
      <c r="AK34" s="3">
        <v>42244</v>
      </c>
      <c r="AL34" s="4">
        <v>0.59236111111111112</v>
      </c>
      <c r="AM34" t="s">
        <v>522</v>
      </c>
      <c r="AN34" t="s">
        <v>111</v>
      </c>
      <c r="AO34">
        <f t="shared" si="0"/>
        <v>14</v>
      </c>
      <c r="AP34" t="s">
        <v>523</v>
      </c>
    </row>
    <row r="35" spans="1:42" x14ac:dyDescent="0.25">
      <c r="A35">
        <v>34</v>
      </c>
      <c r="B35" t="s">
        <v>528</v>
      </c>
      <c r="C35" t="s">
        <v>529</v>
      </c>
      <c r="D35">
        <v>8858</v>
      </c>
      <c r="E35">
        <v>91</v>
      </c>
      <c r="F35" s="1">
        <v>0.32969999999999999</v>
      </c>
      <c r="G35">
        <v>30</v>
      </c>
      <c r="H35">
        <v>30</v>
      </c>
      <c r="I35">
        <v>164161</v>
      </c>
      <c r="J35" t="s">
        <v>72</v>
      </c>
      <c r="K35">
        <v>7352</v>
      </c>
      <c r="L35" s="1">
        <v>8.6E-3</v>
      </c>
      <c r="M35">
        <v>9175</v>
      </c>
      <c r="N35" s="1">
        <v>8.0999999999999996E-3</v>
      </c>
      <c r="O35">
        <v>275250</v>
      </c>
      <c r="P35" s="1">
        <v>5.0000000000000001E-3</v>
      </c>
      <c r="Q35">
        <v>32076</v>
      </c>
      <c r="R35">
        <v>72412</v>
      </c>
      <c r="S35" s="1">
        <v>0.443</v>
      </c>
      <c r="T35">
        <v>3</v>
      </c>
      <c r="U35">
        <v>3037</v>
      </c>
      <c r="Y35" t="s">
        <v>530</v>
      </c>
      <c r="Z35" t="s">
        <v>175</v>
      </c>
      <c r="AA35" t="s">
        <v>531</v>
      </c>
      <c r="AB35" s="2">
        <v>41933.247557870367</v>
      </c>
      <c r="AC35" t="s">
        <v>76</v>
      </c>
      <c r="AD35" t="s">
        <v>193</v>
      </c>
      <c r="AE35">
        <v>5773</v>
      </c>
      <c r="AF35" t="s">
        <v>78</v>
      </c>
      <c r="AG35" s="1">
        <v>0.97389999999999999</v>
      </c>
      <c r="AH35" t="s">
        <v>79</v>
      </c>
      <c r="AI35" t="s">
        <v>80</v>
      </c>
      <c r="AK35" s="3">
        <v>42244</v>
      </c>
      <c r="AL35" s="4">
        <v>0.83333333333333337</v>
      </c>
      <c r="AM35" t="s">
        <v>532</v>
      </c>
      <c r="AN35" t="s">
        <v>111</v>
      </c>
      <c r="AO35">
        <f t="shared" si="0"/>
        <v>20</v>
      </c>
      <c r="AP35" t="s">
        <v>533</v>
      </c>
    </row>
    <row r="36" spans="1:42" x14ac:dyDescent="0.25">
      <c r="A36">
        <v>35</v>
      </c>
      <c r="B36" t="s">
        <v>540</v>
      </c>
      <c r="C36" t="s">
        <v>541</v>
      </c>
      <c r="E36">
        <v>87</v>
      </c>
      <c r="F36" s="1">
        <v>0.29470000000000002</v>
      </c>
      <c r="G36">
        <v>25.64</v>
      </c>
      <c r="H36">
        <v>25.64</v>
      </c>
      <c r="I36">
        <v>26956</v>
      </c>
      <c r="J36" t="s">
        <v>72</v>
      </c>
      <c r="K36">
        <v>7166</v>
      </c>
      <c r="L36" s="1">
        <v>8.3999999999999995E-3</v>
      </c>
      <c r="M36">
        <v>7929</v>
      </c>
      <c r="N36" s="1">
        <v>7.0000000000000001E-3</v>
      </c>
      <c r="O36">
        <v>203299.56</v>
      </c>
      <c r="P36" s="1">
        <v>3.7000000000000002E-3</v>
      </c>
      <c r="Q36">
        <v>11134</v>
      </c>
      <c r="R36">
        <v>23607</v>
      </c>
      <c r="S36" s="1">
        <v>0.47160000000000002</v>
      </c>
      <c r="T36">
        <v>12</v>
      </c>
      <c r="U36">
        <v>2142</v>
      </c>
      <c r="Y36" t="s">
        <v>542</v>
      </c>
      <c r="Z36" t="s">
        <v>175</v>
      </c>
      <c r="AA36" t="s">
        <v>543</v>
      </c>
      <c r="AB36" s="2">
        <v>41693.619618055556</v>
      </c>
      <c r="AC36" t="s">
        <v>76</v>
      </c>
      <c r="AD36" t="s">
        <v>237</v>
      </c>
      <c r="AE36">
        <v>4113</v>
      </c>
      <c r="AF36" t="s">
        <v>78</v>
      </c>
      <c r="AG36" s="1">
        <v>0.9768</v>
      </c>
      <c r="AH36" t="s">
        <v>79</v>
      </c>
      <c r="AI36" t="s">
        <v>80</v>
      </c>
      <c r="AK36" s="3">
        <v>42245</v>
      </c>
      <c r="AL36" s="4">
        <v>0.88935185185185184</v>
      </c>
      <c r="AM36" t="s">
        <v>544</v>
      </c>
      <c r="AN36" t="s">
        <v>161</v>
      </c>
      <c r="AO36">
        <f t="shared" si="0"/>
        <v>21</v>
      </c>
      <c r="AP36" t="s">
        <v>545</v>
      </c>
    </row>
    <row r="37" spans="1:42" x14ac:dyDescent="0.25">
      <c r="A37">
        <v>36</v>
      </c>
      <c r="B37" t="s">
        <v>549</v>
      </c>
      <c r="C37" t="s">
        <v>550</v>
      </c>
      <c r="E37">
        <v>140</v>
      </c>
      <c r="F37" s="1">
        <v>0.15</v>
      </c>
      <c r="G37">
        <v>21</v>
      </c>
      <c r="H37">
        <v>21</v>
      </c>
      <c r="I37">
        <v>413406</v>
      </c>
      <c r="J37" t="s">
        <v>72</v>
      </c>
      <c r="K37">
        <v>7121</v>
      </c>
      <c r="L37" s="1">
        <v>8.3000000000000001E-3</v>
      </c>
      <c r="M37">
        <v>11486</v>
      </c>
      <c r="N37" s="1">
        <v>1.01E-2</v>
      </c>
      <c r="O37">
        <v>241206</v>
      </c>
      <c r="P37" s="1">
        <v>4.4000000000000003E-3</v>
      </c>
      <c r="Q37">
        <v>7220</v>
      </c>
      <c r="R37">
        <v>18854</v>
      </c>
      <c r="S37" s="1">
        <v>0.38290000000000002</v>
      </c>
      <c r="T37">
        <v>7</v>
      </c>
      <c r="U37">
        <v>561</v>
      </c>
      <c r="Y37" t="s">
        <v>551</v>
      </c>
      <c r="Z37" t="s">
        <v>132</v>
      </c>
      <c r="AA37" t="s">
        <v>552</v>
      </c>
      <c r="AB37" s="2">
        <v>40998.900833333333</v>
      </c>
      <c r="AC37" t="s">
        <v>209</v>
      </c>
      <c r="AD37" t="s">
        <v>383</v>
      </c>
      <c r="AE37">
        <v>1942</v>
      </c>
      <c r="AF37" t="s">
        <v>78</v>
      </c>
      <c r="AG37" s="1">
        <v>0.99680000000000002</v>
      </c>
      <c r="AH37" t="s">
        <v>79</v>
      </c>
      <c r="AI37" t="s">
        <v>80</v>
      </c>
      <c r="AK37" s="3">
        <v>42239</v>
      </c>
      <c r="AL37" s="4">
        <v>0.90625</v>
      </c>
      <c r="AM37" s="5">
        <v>0.14947916666666666</v>
      </c>
      <c r="AN37" t="s">
        <v>194</v>
      </c>
      <c r="AO37">
        <f t="shared" si="0"/>
        <v>21</v>
      </c>
      <c r="AP37" t="s">
        <v>553</v>
      </c>
    </row>
    <row r="38" spans="1:42" x14ac:dyDescent="0.25">
      <c r="A38">
        <v>37</v>
      </c>
      <c r="B38" t="s">
        <v>558</v>
      </c>
      <c r="C38" t="s">
        <v>559</v>
      </c>
      <c r="D38" t="s">
        <v>560</v>
      </c>
      <c r="E38">
        <v>158</v>
      </c>
      <c r="F38" s="1">
        <v>0.62029999999999996</v>
      </c>
      <c r="G38">
        <v>98</v>
      </c>
      <c r="H38">
        <v>98</v>
      </c>
      <c r="I38">
        <v>15992</v>
      </c>
      <c r="J38" t="s">
        <v>72</v>
      </c>
      <c r="K38">
        <v>7053</v>
      </c>
      <c r="L38" s="1">
        <v>8.2000000000000007E-3</v>
      </c>
      <c r="M38">
        <v>7537</v>
      </c>
      <c r="N38" s="1">
        <v>6.6E-3</v>
      </c>
      <c r="O38">
        <v>738626</v>
      </c>
      <c r="P38" s="1">
        <v>1.34E-2</v>
      </c>
      <c r="Q38">
        <v>147526</v>
      </c>
      <c r="R38">
        <v>331485</v>
      </c>
      <c r="S38" s="1">
        <v>0.44500000000000001</v>
      </c>
      <c r="T38">
        <v>5</v>
      </c>
      <c r="U38">
        <v>3959</v>
      </c>
      <c r="Y38" t="s">
        <v>561</v>
      </c>
      <c r="Z38" t="s">
        <v>74</v>
      </c>
      <c r="AA38" t="s">
        <v>562</v>
      </c>
      <c r="AB38" s="2">
        <v>39248.55945601852</v>
      </c>
      <c r="AC38" t="s">
        <v>322</v>
      </c>
      <c r="AD38" t="s">
        <v>323</v>
      </c>
      <c r="AE38">
        <v>2664091</v>
      </c>
      <c r="AF38" t="s">
        <v>78</v>
      </c>
      <c r="AG38" s="1">
        <v>0.98970000000000002</v>
      </c>
      <c r="AH38" t="s">
        <v>79</v>
      </c>
      <c r="AI38" t="s">
        <v>80</v>
      </c>
      <c r="AK38" s="3">
        <v>42241</v>
      </c>
      <c r="AL38" s="4">
        <v>0.41666666666666669</v>
      </c>
      <c r="AM38" t="s">
        <v>563</v>
      </c>
      <c r="AN38" t="s">
        <v>251</v>
      </c>
      <c r="AO38">
        <f t="shared" si="0"/>
        <v>10</v>
      </c>
      <c r="AP38" t="s">
        <v>564</v>
      </c>
    </row>
    <row r="39" spans="1:42" x14ac:dyDescent="0.25">
      <c r="A39">
        <v>38</v>
      </c>
      <c r="B39" t="s">
        <v>572</v>
      </c>
      <c r="C39" t="s">
        <v>573</v>
      </c>
      <c r="E39">
        <v>193</v>
      </c>
      <c r="F39" s="1">
        <v>0.15540000000000001</v>
      </c>
      <c r="G39">
        <v>30</v>
      </c>
      <c r="H39">
        <v>30</v>
      </c>
      <c r="I39">
        <v>11042</v>
      </c>
      <c r="J39" t="s">
        <v>72</v>
      </c>
      <c r="K39">
        <v>6974</v>
      </c>
      <c r="L39" s="1">
        <v>8.0999999999999996E-3</v>
      </c>
      <c r="M39">
        <v>8895</v>
      </c>
      <c r="N39" s="1">
        <v>7.7999999999999996E-3</v>
      </c>
      <c r="O39">
        <v>266850</v>
      </c>
      <c r="P39" s="1">
        <v>4.7999999999999996E-3</v>
      </c>
      <c r="Q39">
        <v>39956</v>
      </c>
      <c r="R39">
        <v>116581</v>
      </c>
      <c r="S39" s="1">
        <v>0.3427</v>
      </c>
      <c r="T39">
        <v>7</v>
      </c>
      <c r="U39">
        <v>8214</v>
      </c>
      <c r="Y39" t="s">
        <v>574</v>
      </c>
      <c r="Z39" t="s">
        <v>175</v>
      </c>
      <c r="AA39" t="s">
        <v>575</v>
      </c>
      <c r="AB39" s="2">
        <v>41500.953993055555</v>
      </c>
      <c r="AC39" t="s">
        <v>76</v>
      </c>
      <c r="AD39" t="s">
        <v>109</v>
      </c>
      <c r="AE39">
        <v>3240</v>
      </c>
      <c r="AF39" t="s">
        <v>78</v>
      </c>
      <c r="AG39" s="1">
        <v>0.95979999999999999</v>
      </c>
      <c r="AH39" t="s">
        <v>79</v>
      </c>
      <c r="AI39" t="s">
        <v>80</v>
      </c>
      <c r="AK39" s="3">
        <v>42244</v>
      </c>
      <c r="AL39" s="4">
        <v>0.88888888888888884</v>
      </c>
      <c r="AM39" t="s">
        <v>576</v>
      </c>
      <c r="AN39" t="s">
        <v>111</v>
      </c>
      <c r="AO39">
        <f t="shared" si="0"/>
        <v>21</v>
      </c>
      <c r="AP39" t="s">
        <v>577</v>
      </c>
    </row>
    <row r="40" spans="1:42" x14ac:dyDescent="0.25">
      <c r="A40">
        <v>39</v>
      </c>
      <c r="B40" t="s">
        <v>583</v>
      </c>
      <c r="C40" t="s">
        <v>584</v>
      </c>
      <c r="D40">
        <v>1802</v>
      </c>
      <c r="E40">
        <v>118</v>
      </c>
      <c r="F40" s="1">
        <v>0.1426</v>
      </c>
      <c r="G40">
        <v>16.829999999999998</v>
      </c>
      <c r="H40">
        <v>16.829999999999998</v>
      </c>
      <c r="I40">
        <v>10189</v>
      </c>
      <c r="J40" t="s">
        <v>72</v>
      </c>
      <c r="K40">
        <v>6965</v>
      </c>
      <c r="L40" s="1">
        <v>8.0999999999999996E-3</v>
      </c>
      <c r="M40">
        <v>17656</v>
      </c>
      <c r="N40" s="1">
        <v>1.5599999999999999E-2</v>
      </c>
      <c r="O40">
        <v>297150.48</v>
      </c>
      <c r="P40" s="1">
        <v>5.4000000000000003E-3</v>
      </c>
      <c r="Q40">
        <v>9080</v>
      </c>
      <c r="R40">
        <v>68915</v>
      </c>
      <c r="S40" s="1">
        <v>0.1318</v>
      </c>
      <c r="T40">
        <v>10</v>
      </c>
      <c r="U40">
        <v>5887</v>
      </c>
      <c r="Y40" t="s">
        <v>105</v>
      </c>
      <c r="Z40" t="s">
        <v>190</v>
      </c>
      <c r="AA40" t="s">
        <v>585</v>
      </c>
      <c r="AB40" s="2">
        <v>41511.616805555554</v>
      </c>
      <c r="AC40" t="s">
        <v>76</v>
      </c>
      <c r="AD40" t="s">
        <v>193</v>
      </c>
      <c r="AE40">
        <v>2499</v>
      </c>
      <c r="AF40" t="s">
        <v>78</v>
      </c>
      <c r="AG40" s="1">
        <v>0.96660000000000001</v>
      </c>
      <c r="AH40" t="s">
        <v>79</v>
      </c>
      <c r="AI40" t="s">
        <v>80</v>
      </c>
      <c r="AK40" s="3">
        <v>42240</v>
      </c>
      <c r="AL40" s="4">
        <v>0.92358796296296297</v>
      </c>
      <c r="AM40" t="s">
        <v>586</v>
      </c>
      <c r="AN40" t="s">
        <v>82</v>
      </c>
      <c r="AO40">
        <f t="shared" si="0"/>
        <v>22</v>
      </c>
      <c r="AP40" t="s">
        <v>587</v>
      </c>
    </row>
    <row r="41" spans="1:42" x14ac:dyDescent="0.25">
      <c r="A41">
        <v>40</v>
      </c>
      <c r="B41" t="s">
        <v>594</v>
      </c>
      <c r="C41" t="s">
        <v>595</v>
      </c>
      <c r="E41">
        <v>55</v>
      </c>
      <c r="F41" s="1">
        <v>0.5</v>
      </c>
      <c r="G41">
        <v>27.5</v>
      </c>
      <c r="H41">
        <v>27.5</v>
      </c>
      <c r="I41">
        <v>31731</v>
      </c>
      <c r="J41" t="s">
        <v>72</v>
      </c>
      <c r="K41">
        <v>6892</v>
      </c>
      <c r="L41" s="1">
        <v>8.0999999999999996E-3</v>
      </c>
      <c r="M41">
        <v>8711</v>
      </c>
      <c r="N41" s="1">
        <v>7.7000000000000002E-3</v>
      </c>
      <c r="O41">
        <v>239552.5</v>
      </c>
      <c r="P41" s="1">
        <v>4.3E-3</v>
      </c>
      <c r="Q41">
        <v>7830</v>
      </c>
      <c r="R41">
        <v>21619</v>
      </c>
      <c r="S41" s="1">
        <v>0.36220000000000002</v>
      </c>
      <c r="T41">
        <v>4</v>
      </c>
      <c r="U41">
        <v>435</v>
      </c>
      <c r="Y41" t="s">
        <v>596</v>
      </c>
      <c r="Z41" t="s">
        <v>175</v>
      </c>
      <c r="AA41" t="s">
        <v>597</v>
      </c>
      <c r="AB41" s="2">
        <v>41333.520300925928</v>
      </c>
      <c r="AC41" t="s">
        <v>407</v>
      </c>
      <c r="AD41" t="s">
        <v>237</v>
      </c>
      <c r="AE41">
        <v>2280</v>
      </c>
      <c r="AF41" t="s">
        <v>78</v>
      </c>
      <c r="AG41" s="1">
        <v>0.97230000000000005</v>
      </c>
      <c r="AH41" t="s">
        <v>79</v>
      </c>
      <c r="AI41" t="s">
        <v>80</v>
      </c>
      <c r="AK41" s="3">
        <v>42240</v>
      </c>
      <c r="AL41" s="4">
        <v>0.9194444444444444</v>
      </c>
      <c r="AM41" t="s">
        <v>598</v>
      </c>
      <c r="AN41" t="s">
        <v>82</v>
      </c>
      <c r="AO41">
        <f t="shared" si="0"/>
        <v>22</v>
      </c>
      <c r="AP41" t="s">
        <v>599</v>
      </c>
    </row>
    <row r="42" spans="1:42" x14ac:dyDescent="0.25">
      <c r="A42">
        <v>41</v>
      </c>
      <c r="B42" t="s">
        <v>605</v>
      </c>
      <c r="C42" t="s">
        <v>606</v>
      </c>
      <c r="D42">
        <v>1203</v>
      </c>
      <c r="E42">
        <v>78</v>
      </c>
      <c r="F42" s="1">
        <v>0.35539999999999999</v>
      </c>
      <c r="G42">
        <v>27.72</v>
      </c>
      <c r="H42">
        <v>27.72</v>
      </c>
      <c r="I42">
        <v>18942</v>
      </c>
      <c r="J42" t="s">
        <v>72</v>
      </c>
      <c r="K42">
        <v>6816</v>
      </c>
      <c r="L42" s="1">
        <v>8.0000000000000002E-3</v>
      </c>
      <c r="M42">
        <v>8167</v>
      </c>
      <c r="N42" s="1">
        <v>7.1999999999999998E-3</v>
      </c>
      <c r="O42">
        <v>226389.24</v>
      </c>
      <c r="P42" s="1">
        <v>4.1000000000000003E-3</v>
      </c>
      <c r="Q42">
        <v>40584</v>
      </c>
      <c r="R42">
        <v>114713</v>
      </c>
      <c r="S42" s="1">
        <v>0.3538</v>
      </c>
      <c r="T42">
        <v>7</v>
      </c>
      <c r="U42">
        <v>10097</v>
      </c>
      <c r="Y42" t="s">
        <v>574</v>
      </c>
      <c r="Z42" t="s">
        <v>175</v>
      </c>
      <c r="AA42" t="s">
        <v>607</v>
      </c>
      <c r="AB42" s="2">
        <v>41039.054155092592</v>
      </c>
      <c r="AC42" t="s">
        <v>76</v>
      </c>
      <c r="AD42" t="s">
        <v>307</v>
      </c>
      <c r="AE42">
        <v>2345</v>
      </c>
      <c r="AF42" t="s">
        <v>78</v>
      </c>
      <c r="AG42" s="1">
        <v>0.98329999999999995</v>
      </c>
      <c r="AH42" t="s">
        <v>79</v>
      </c>
      <c r="AI42" t="s">
        <v>80</v>
      </c>
      <c r="AK42" s="3">
        <v>42242</v>
      </c>
      <c r="AL42" s="4">
        <v>0.88549768518518512</v>
      </c>
      <c r="AM42" t="s">
        <v>608</v>
      </c>
      <c r="AN42" t="s">
        <v>135</v>
      </c>
      <c r="AO42">
        <f t="shared" si="0"/>
        <v>21</v>
      </c>
      <c r="AP42" t="s">
        <v>609</v>
      </c>
    </row>
    <row r="43" spans="1:42" x14ac:dyDescent="0.25">
      <c r="A43">
        <v>42</v>
      </c>
      <c r="B43" t="s">
        <v>616</v>
      </c>
      <c r="C43" t="s">
        <v>617</v>
      </c>
      <c r="E43">
        <v>290</v>
      </c>
      <c r="F43" s="1">
        <v>0.46260000000000001</v>
      </c>
      <c r="G43">
        <v>134.16</v>
      </c>
      <c r="H43">
        <v>134.16</v>
      </c>
      <c r="I43">
        <v>1715</v>
      </c>
      <c r="J43" t="s">
        <v>72</v>
      </c>
      <c r="K43">
        <v>6811</v>
      </c>
      <c r="L43" s="1">
        <v>8.0000000000000002E-3</v>
      </c>
      <c r="M43">
        <v>7755</v>
      </c>
      <c r="N43" s="1">
        <v>6.7999999999999996E-3</v>
      </c>
      <c r="O43">
        <v>1040410.8</v>
      </c>
      <c r="P43" s="1">
        <v>1.8800000000000001E-2</v>
      </c>
      <c r="Q43">
        <v>75770</v>
      </c>
      <c r="R43">
        <v>135914</v>
      </c>
      <c r="S43" s="1">
        <v>0.5575</v>
      </c>
      <c r="T43">
        <v>8</v>
      </c>
      <c r="U43">
        <v>4643</v>
      </c>
      <c r="Y43" t="s">
        <v>189</v>
      </c>
      <c r="Z43" t="s">
        <v>74</v>
      </c>
      <c r="AA43" t="s">
        <v>618</v>
      </c>
      <c r="AB43" s="2">
        <v>41590.454652777778</v>
      </c>
      <c r="AC43" t="s">
        <v>76</v>
      </c>
      <c r="AD43" t="s">
        <v>77</v>
      </c>
      <c r="AE43">
        <v>15853</v>
      </c>
      <c r="AF43" t="s">
        <v>78</v>
      </c>
      <c r="AG43" s="1">
        <v>0.99219999999999997</v>
      </c>
      <c r="AH43" t="s">
        <v>79</v>
      </c>
      <c r="AI43" t="s">
        <v>80</v>
      </c>
      <c r="AK43" s="3">
        <v>42246</v>
      </c>
      <c r="AL43" s="4">
        <v>0.58819444444444446</v>
      </c>
      <c r="AM43" t="s">
        <v>619</v>
      </c>
      <c r="AN43" t="s">
        <v>194</v>
      </c>
      <c r="AO43">
        <f t="shared" si="0"/>
        <v>14</v>
      </c>
      <c r="AP43" t="s">
        <v>620</v>
      </c>
    </row>
    <row r="44" spans="1:42" x14ac:dyDescent="0.25">
      <c r="A44">
        <v>43</v>
      </c>
      <c r="B44" t="s">
        <v>627</v>
      </c>
      <c r="C44" t="s">
        <v>628</v>
      </c>
      <c r="E44">
        <v>98</v>
      </c>
      <c r="F44" s="1">
        <v>0.38569999999999999</v>
      </c>
      <c r="G44">
        <v>37.799999999999997</v>
      </c>
      <c r="H44">
        <v>37.799999999999997</v>
      </c>
      <c r="I44">
        <v>90248</v>
      </c>
      <c r="J44" t="s">
        <v>72</v>
      </c>
      <c r="K44">
        <v>6753</v>
      </c>
      <c r="L44" s="1">
        <v>7.9000000000000008E-3</v>
      </c>
      <c r="M44">
        <v>10282</v>
      </c>
      <c r="N44" s="1">
        <v>9.1000000000000004E-3</v>
      </c>
      <c r="O44">
        <v>388659.6</v>
      </c>
      <c r="P44" s="1">
        <v>7.0000000000000001E-3</v>
      </c>
      <c r="Q44">
        <v>23772</v>
      </c>
      <c r="R44">
        <v>41788</v>
      </c>
      <c r="S44" s="1">
        <v>0.56889999999999996</v>
      </c>
      <c r="T44">
        <v>9</v>
      </c>
      <c r="U44">
        <v>3055</v>
      </c>
      <c r="Y44" t="s">
        <v>629</v>
      </c>
      <c r="Z44" t="s">
        <v>175</v>
      </c>
      <c r="AA44" t="s">
        <v>630</v>
      </c>
      <c r="AB44" s="2">
        <v>41669.632395833331</v>
      </c>
      <c r="AC44" t="s">
        <v>108</v>
      </c>
      <c r="AD44" t="s">
        <v>383</v>
      </c>
      <c r="AE44">
        <v>7628</v>
      </c>
      <c r="AF44" t="s">
        <v>78</v>
      </c>
      <c r="AG44" s="1">
        <v>0.98650000000000004</v>
      </c>
      <c r="AH44" t="s">
        <v>79</v>
      </c>
      <c r="AI44" t="s">
        <v>80</v>
      </c>
      <c r="AK44" s="3">
        <v>42239</v>
      </c>
      <c r="AL44" s="4">
        <v>0.97776620370370371</v>
      </c>
      <c r="AM44" s="5">
        <v>0.2209837962962963</v>
      </c>
      <c r="AN44" t="s">
        <v>194</v>
      </c>
      <c r="AO44">
        <f t="shared" si="0"/>
        <v>23</v>
      </c>
      <c r="AP44" t="s">
        <v>631</v>
      </c>
    </row>
    <row r="45" spans="1:42" x14ac:dyDescent="0.25">
      <c r="A45">
        <v>44</v>
      </c>
      <c r="B45" t="s">
        <v>636</v>
      </c>
      <c r="C45" t="s">
        <v>637</v>
      </c>
      <c r="D45">
        <v>8715</v>
      </c>
      <c r="E45">
        <v>101</v>
      </c>
      <c r="F45" s="1">
        <v>0.21779999999999999</v>
      </c>
      <c r="G45">
        <v>22</v>
      </c>
      <c r="H45">
        <v>22</v>
      </c>
      <c r="I45">
        <v>11936</v>
      </c>
      <c r="J45" t="s">
        <v>72</v>
      </c>
      <c r="K45">
        <v>6689</v>
      </c>
      <c r="L45" s="1">
        <v>7.7999999999999996E-3</v>
      </c>
      <c r="M45">
        <v>8261</v>
      </c>
      <c r="N45" s="1">
        <v>7.3000000000000001E-3</v>
      </c>
      <c r="O45">
        <v>181742</v>
      </c>
      <c r="P45" s="1">
        <v>3.3E-3</v>
      </c>
      <c r="Q45">
        <v>26408</v>
      </c>
      <c r="R45">
        <v>29308</v>
      </c>
      <c r="S45" s="1">
        <v>0.90110000000000001</v>
      </c>
      <c r="T45">
        <v>9</v>
      </c>
      <c r="U45">
        <v>1555</v>
      </c>
      <c r="Y45" t="s">
        <v>638</v>
      </c>
      <c r="Z45" t="s">
        <v>175</v>
      </c>
      <c r="AA45" t="s">
        <v>639</v>
      </c>
      <c r="AB45" s="2">
        <v>42144.831365740742</v>
      </c>
      <c r="AC45" t="s">
        <v>640</v>
      </c>
      <c r="AD45" t="s">
        <v>237</v>
      </c>
      <c r="AE45">
        <v>1392</v>
      </c>
      <c r="AF45" t="s">
        <v>78</v>
      </c>
      <c r="AG45" s="1">
        <v>0.98380000000000001</v>
      </c>
      <c r="AH45" t="s">
        <v>79</v>
      </c>
      <c r="AI45" t="s">
        <v>80</v>
      </c>
      <c r="AK45" s="3">
        <v>42244</v>
      </c>
      <c r="AL45" s="4">
        <v>0.4911342592592593</v>
      </c>
      <c r="AM45" t="s">
        <v>641</v>
      </c>
      <c r="AN45" t="s">
        <v>111</v>
      </c>
      <c r="AO45">
        <f t="shared" si="0"/>
        <v>11</v>
      </c>
      <c r="AP45" t="s">
        <v>642</v>
      </c>
    </row>
    <row r="46" spans="1:42" x14ac:dyDescent="0.25">
      <c r="A46">
        <v>45</v>
      </c>
      <c r="B46" t="s">
        <v>648</v>
      </c>
      <c r="C46" t="s">
        <v>649</v>
      </c>
      <c r="E46">
        <v>49</v>
      </c>
      <c r="F46" s="1">
        <v>0.40200000000000002</v>
      </c>
      <c r="G46">
        <v>19.7</v>
      </c>
      <c r="H46">
        <v>19.7</v>
      </c>
      <c r="I46">
        <v>67904</v>
      </c>
      <c r="J46" t="s">
        <v>72</v>
      </c>
      <c r="K46">
        <v>6636</v>
      </c>
      <c r="L46" s="1">
        <v>7.7999999999999996E-3</v>
      </c>
      <c r="M46">
        <v>9514</v>
      </c>
      <c r="N46" s="1">
        <v>8.3999999999999995E-3</v>
      </c>
      <c r="O46">
        <v>187425.8</v>
      </c>
      <c r="P46" s="1">
        <v>3.3999999999999998E-3</v>
      </c>
      <c r="Q46">
        <v>23104</v>
      </c>
      <c r="R46">
        <v>117941</v>
      </c>
      <c r="S46" s="1">
        <v>0.19589999999999999</v>
      </c>
      <c r="T46">
        <v>34</v>
      </c>
      <c r="U46">
        <v>7435</v>
      </c>
      <c r="W46" t="s">
        <v>650</v>
      </c>
      <c r="Y46" t="s">
        <v>629</v>
      </c>
      <c r="Z46" t="s">
        <v>651</v>
      </c>
      <c r="AA46" t="s">
        <v>652</v>
      </c>
      <c r="AB46" s="2">
        <v>41617.511412037034</v>
      </c>
      <c r="AC46" t="s">
        <v>192</v>
      </c>
      <c r="AD46" t="s">
        <v>358</v>
      </c>
      <c r="AE46">
        <v>9441</v>
      </c>
      <c r="AF46" t="s">
        <v>78</v>
      </c>
      <c r="AG46" s="1">
        <v>0.97470000000000001</v>
      </c>
      <c r="AH46" t="s">
        <v>79</v>
      </c>
      <c r="AI46" t="s">
        <v>80</v>
      </c>
      <c r="AK46" s="3">
        <v>42244</v>
      </c>
      <c r="AL46" s="4">
        <v>0.60355324074074079</v>
      </c>
      <c r="AM46" t="s">
        <v>653</v>
      </c>
      <c r="AN46" t="s">
        <v>111</v>
      </c>
      <c r="AO46">
        <f t="shared" si="0"/>
        <v>14</v>
      </c>
      <c r="AP46" t="s">
        <v>654</v>
      </c>
    </row>
    <row r="47" spans="1:42" x14ac:dyDescent="0.25">
      <c r="A47">
        <v>46</v>
      </c>
      <c r="B47" t="s">
        <v>659</v>
      </c>
      <c r="C47" t="s">
        <v>660</v>
      </c>
      <c r="D47" t="s">
        <v>661</v>
      </c>
      <c r="E47">
        <v>188</v>
      </c>
      <c r="F47" s="1">
        <v>0.25800000000000001</v>
      </c>
      <c r="G47">
        <v>48.51</v>
      </c>
      <c r="H47">
        <v>48.51</v>
      </c>
      <c r="I47">
        <v>1842</v>
      </c>
      <c r="J47" t="s">
        <v>72</v>
      </c>
      <c r="K47">
        <v>6628</v>
      </c>
      <c r="L47" s="1">
        <v>7.7000000000000002E-3</v>
      </c>
      <c r="M47">
        <v>6936</v>
      </c>
      <c r="N47" s="1">
        <v>6.1000000000000004E-3</v>
      </c>
      <c r="O47">
        <v>336465.36</v>
      </c>
      <c r="P47" s="1">
        <v>6.1000000000000004E-3</v>
      </c>
      <c r="Q47">
        <v>13166</v>
      </c>
      <c r="R47">
        <v>37012</v>
      </c>
      <c r="S47" s="1">
        <v>0.35570000000000002</v>
      </c>
      <c r="T47">
        <v>4</v>
      </c>
      <c r="U47">
        <v>1216</v>
      </c>
      <c r="Y47" t="s">
        <v>131</v>
      </c>
      <c r="Z47" t="s">
        <v>175</v>
      </c>
      <c r="AA47" t="s">
        <v>662</v>
      </c>
      <c r="AB47" s="2">
        <v>40874.997696759259</v>
      </c>
      <c r="AC47" t="s">
        <v>640</v>
      </c>
      <c r="AD47" t="s">
        <v>663</v>
      </c>
      <c r="AE47">
        <v>3787</v>
      </c>
      <c r="AF47" t="s">
        <v>78</v>
      </c>
      <c r="AG47" s="1">
        <v>0.96099999999999997</v>
      </c>
      <c r="AH47" t="s">
        <v>79</v>
      </c>
      <c r="AI47" t="s">
        <v>80</v>
      </c>
      <c r="AK47" s="3">
        <v>42245</v>
      </c>
      <c r="AL47" s="4">
        <v>0.89189814814814816</v>
      </c>
      <c r="AM47" t="s">
        <v>664</v>
      </c>
      <c r="AN47" t="s">
        <v>161</v>
      </c>
      <c r="AO47">
        <f t="shared" si="0"/>
        <v>21</v>
      </c>
      <c r="AP47" t="s">
        <v>665</v>
      </c>
    </row>
    <row r="48" spans="1:42" x14ac:dyDescent="0.25">
      <c r="A48">
        <v>47</v>
      </c>
      <c r="B48" t="s">
        <v>670</v>
      </c>
      <c r="C48" t="s">
        <v>671</v>
      </c>
      <c r="D48">
        <v>8077</v>
      </c>
      <c r="E48">
        <v>299</v>
      </c>
      <c r="F48" s="1">
        <v>0.2616</v>
      </c>
      <c r="G48">
        <v>78.209999999999994</v>
      </c>
      <c r="H48">
        <v>78.209999999999994</v>
      </c>
      <c r="I48">
        <v>12404</v>
      </c>
      <c r="J48" t="s">
        <v>72</v>
      </c>
      <c r="K48">
        <v>6595</v>
      </c>
      <c r="L48" s="1">
        <v>7.7000000000000002E-3</v>
      </c>
      <c r="M48">
        <v>9444</v>
      </c>
      <c r="N48" s="1">
        <v>8.3000000000000001E-3</v>
      </c>
      <c r="O48">
        <v>738615.24</v>
      </c>
      <c r="P48" s="1">
        <v>1.34E-2</v>
      </c>
      <c r="Q48">
        <v>47860</v>
      </c>
      <c r="R48">
        <v>76793</v>
      </c>
      <c r="S48" s="1">
        <v>0.62319999999999998</v>
      </c>
      <c r="T48">
        <v>7</v>
      </c>
      <c r="U48">
        <v>2092</v>
      </c>
      <c r="Y48" t="s">
        <v>672</v>
      </c>
      <c r="Z48" t="s">
        <v>175</v>
      </c>
      <c r="AA48" t="s">
        <v>673</v>
      </c>
      <c r="AB48" s="2">
        <v>41447.796678240738</v>
      </c>
      <c r="AC48" t="s">
        <v>76</v>
      </c>
      <c r="AD48" t="s">
        <v>358</v>
      </c>
      <c r="AE48">
        <v>15070</v>
      </c>
      <c r="AF48" t="s">
        <v>78</v>
      </c>
      <c r="AG48" s="1">
        <v>0.98299999999999998</v>
      </c>
      <c r="AH48" t="s">
        <v>79</v>
      </c>
      <c r="AI48" t="s">
        <v>80</v>
      </c>
      <c r="AK48" s="3">
        <v>42242</v>
      </c>
      <c r="AL48" s="4">
        <v>0.88194444444444453</v>
      </c>
      <c r="AM48" t="s">
        <v>674</v>
      </c>
      <c r="AN48" t="s">
        <v>135</v>
      </c>
      <c r="AO48">
        <f t="shared" si="0"/>
        <v>21</v>
      </c>
      <c r="AP48" t="s">
        <v>675</v>
      </c>
    </row>
    <row r="49" spans="1:42" x14ac:dyDescent="0.25">
      <c r="A49">
        <v>48</v>
      </c>
      <c r="B49" t="s">
        <v>681</v>
      </c>
      <c r="C49" t="s">
        <v>682</v>
      </c>
      <c r="D49">
        <v>888</v>
      </c>
      <c r="E49">
        <v>158</v>
      </c>
      <c r="F49" s="1">
        <v>0.2525</v>
      </c>
      <c r="G49">
        <v>39.9</v>
      </c>
      <c r="H49">
        <v>39.9</v>
      </c>
      <c r="I49">
        <v>11102</v>
      </c>
      <c r="J49" t="s">
        <v>72</v>
      </c>
      <c r="K49">
        <v>6548</v>
      </c>
      <c r="L49" s="1">
        <v>7.6E-3</v>
      </c>
      <c r="M49">
        <v>8198</v>
      </c>
      <c r="N49" s="1">
        <v>7.1999999999999998E-3</v>
      </c>
      <c r="O49">
        <v>327100.2</v>
      </c>
      <c r="P49" s="1">
        <v>5.8999999999999999E-3</v>
      </c>
      <c r="Q49">
        <v>37044</v>
      </c>
      <c r="R49">
        <v>65682</v>
      </c>
      <c r="S49" s="1">
        <v>0.56399999999999995</v>
      </c>
      <c r="T49">
        <v>7</v>
      </c>
      <c r="U49">
        <v>4593</v>
      </c>
      <c r="Y49" t="s">
        <v>425</v>
      </c>
      <c r="Z49" t="s">
        <v>175</v>
      </c>
      <c r="AA49" t="s">
        <v>683</v>
      </c>
      <c r="AB49" s="2">
        <v>41903.836099537039</v>
      </c>
      <c r="AC49" t="s">
        <v>108</v>
      </c>
      <c r="AD49" t="s">
        <v>237</v>
      </c>
      <c r="AE49">
        <v>4841</v>
      </c>
      <c r="AF49" t="s">
        <v>78</v>
      </c>
      <c r="AG49" s="1">
        <v>0.92290000000000005</v>
      </c>
      <c r="AH49" t="s">
        <v>79</v>
      </c>
      <c r="AI49" t="s">
        <v>80</v>
      </c>
      <c r="AK49" s="3">
        <v>42241</v>
      </c>
      <c r="AL49" s="4">
        <v>9.0277777777777776E-2</v>
      </c>
      <c r="AM49" t="s">
        <v>684</v>
      </c>
      <c r="AN49" t="s">
        <v>251</v>
      </c>
      <c r="AO49">
        <f t="shared" si="0"/>
        <v>2</v>
      </c>
      <c r="AP49" t="s">
        <v>685</v>
      </c>
    </row>
    <row r="50" spans="1:42" x14ac:dyDescent="0.25">
      <c r="A50">
        <v>49</v>
      </c>
      <c r="B50" t="s">
        <v>692</v>
      </c>
      <c r="C50" t="s">
        <v>693</v>
      </c>
      <c r="D50" t="s">
        <v>694</v>
      </c>
      <c r="E50">
        <v>498</v>
      </c>
      <c r="F50" s="1">
        <v>5.96E-2</v>
      </c>
      <c r="G50">
        <v>29.7</v>
      </c>
      <c r="H50">
        <v>29.7</v>
      </c>
      <c r="I50">
        <v>393081</v>
      </c>
      <c r="J50">
        <v>5</v>
      </c>
      <c r="K50">
        <v>6289</v>
      </c>
      <c r="L50" s="1">
        <v>7.3000000000000001E-3</v>
      </c>
      <c r="M50">
        <v>8070</v>
      </c>
      <c r="N50" s="1">
        <v>7.1000000000000004E-3</v>
      </c>
      <c r="O50">
        <v>239679</v>
      </c>
      <c r="P50" s="1">
        <v>4.3E-3</v>
      </c>
      <c r="Q50">
        <v>43462</v>
      </c>
      <c r="R50" t="s">
        <v>154</v>
      </c>
      <c r="S50" t="s">
        <v>154</v>
      </c>
      <c r="T50">
        <v>10</v>
      </c>
      <c r="U50">
        <v>13850</v>
      </c>
      <c r="W50" t="s">
        <v>293</v>
      </c>
      <c r="Z50" t="s">
        <v>74</v>
      </c>
      <c r="AA50" t="s">
        <v>294</v>
      </c>
      <c r="AB50" s="2">
        <v>41746.486747685187</v>
      </c>
      <c r="AC50" t="s">
        <v>192</v>
      </c>
      <c r="AD50" t="s">
        <v>158</v>
      </c>
      <c r="AE50">
        <v>45399</v>
      </c>
      <c r="AF50" t="s">
        <v>159</v>
      </c>
      <c r="AG50" s="1">
        <v>1</v>
      </c>
      <c r="AH50" t="s">
        <v>79</v>
      </c>
      <c r="AI50" t="s">
        <v>80</v>
      </c>
      <c r="AK50" s="3">
        <v>42244</v>
      </c>
      <c r="AL50" s="4">
        <v>0.94467592592592586</v>
      </c>
      <c r="AM50" t="s">
        <v>695</v>
      </c>
      <c r="AN50" t="s">
        <v>111</v>
      </c>
      <c r="AO50">
        <f t="shared" si="0"/>
        <v>22</v>
      </c>
      <c r="AP50" t="s">
        <v>696</v>
      </c>
    </row>
    <row r="51" spans="1:42" x14ac:dyDescent="0.25">
      <c r="A51">
        <v>50</v>
      </c>
      <c r="B51" t="s">
        <v>702</v>
      </c>
      <c r="C51" t="s">
        <v>703</v>
      </c>
      <c r="E51">
        <v>173</v>
      </c>
      <c r="F51" s="1">
        <v>0.1908</v>
      </c>
      <c r="G51">
        <v>33</v>
      </c>
      <c r="H51">
        <v>33</v>
      </c>
      <c r="I51">
        <v>28996</v>
      </c>
      <c r="J51" t="s">
        <v>72</v>
      </c>
      <c r="K51">
        <v>6286</v>
      </c>
      <c r="L51" s="1">
        <v>7.3000000000000001E-3</v>
      </c>
      <c r="M51">
        <v>8616</v>
      </c>
      <c r="N51" s="1">
        <v>7.6E-3</v>
      </c>
      <c r="O51">
        <v>284328</v>
      </c>
      <c r="P51" s="1">
        <v>5.1000000000000004E-3</v>
      </c>
      <c r="Q51">
        <v>19784</v>
      </c>
      <c r="R51">
        <v>56334</v>
      </c>
      <c r="S51" s="1">
        <v>0.35120000000000001</v>
      </c>
      <c r="T51">
        <v>19</v>
      </c>
      <c r="U51">
        <v>1785</v>
      </c>
      <c r="Y51" t="s">
        <v>105</v>
      </c>
      <c r="Z51" t="s">
        <v>175</v>
      </c>
      <c r="AA51" t="s">
        <v>704</v>
      </c>
      <c r="AB51" s="2">
        <v>41808.710740740738</v>
      </c>
      <c r="AC51" t="s">
        <v>224</v>
      </c>
      <c r="AD51" t="s">
        <v>109</v>
      </c>
      <c r="AE51">
        <v>24456</v>
      </c>
      <c r="AF51" t="s">
        <v>78</v>
      </c>
      <c r="AG51" s="1">
        <v>0.98480000000000001</v>
      </c>
      <c r="AH51" t="s">
        <v>79</v>
      </c>
      <c r="AI51" t="s">
        <v>80</v>
      </c>
      <c r="AK51" s="3">
        <v>42242</v>
      </c>
      <c r="AL51" s="4">
        <v>0.91666666666666663</v>
      </c>
      <c r="AM51" t="s">
        <v>705</v>
      </c>
      <c r="AN51" t="s">
        <v>135</v>
      </c>
      <c r="AO51">
        <f t="shared" si="0"/>
        <v>22</v>
      </c>
      <c r="AP51" t="s">
        <v>706</v>
      </c>
    </row>
    <row r="52" spans="1:42" x14ac:dyDescent="0.25">
      <c r="A52">
        <v>51</v>
      </c>
      <c r="B52" t="s">
        <v>713</v>
      </c>
      <c r="C52" t="s">
        <v>714</v>
      </c>
      <c r="E52">
        <v>188</v>
      </c>
      <c r="F52" s="1">
        <v>0.2054</v>
      </c>
      <c r="G52">
        <v>38.61</v>
      </c>
      <c r="H52">
        <v>38.61</v>
      </c>
      <c r="I52">
        <v>150101</v>
      </c>
      <c r="J52" t="s">
        <v>72</v>
      </c>
      <c r="K52">
        <v>6214</v>
      </c>
      <c r="L52" s="1">
        <v>7.3000000000000001E-3</v>
      </c>
      <c r="M52">
        <v>8671</v>
      </c>
      <c r="N52" s="1">
        <v>7.6E-3</v>
      </c>
      <c r="O52">
        <v>334787.31</v>
      </c>
      <c r="P52" s="1">
        <v>6.1000000000000004E-3</v>
      </c>
      <c r="Q52">
        <v>35890</v>
      </c>
      <c r="R52">
        <v>39701</v>
      </c>
      <c r="S52" s="1">
        <v>0.90400000000000003</v>
      </c>
      <c r="T52">
        <v>2</v>
      </c>
      <c r="U52">
        <v>1491</v>
      </c>
      <c r="Y52" t="s">
        <v>425</v>
      </c>
      <c r="Z52" t="s">
        <v>175</v>
      </c>
      <c r="AA52" t="s">
        <v>715</v>
      </c>
      <c r="AB52" s="2">
        <v>41691.587222222224</v>
      </c>
      <c r="AC52" t="s">
        <v>108</v>
      </c>
      <c r="AD52" t="s">
        <v>193</v>
      </c>
      <c r="AE52">
        <v>5116</v>
      </c>
      <c r="AF52" t="s">
        <v>78</v>
      </c>
      <c r="AG52" s="1">
        <v>0.97709999999999997</v>
      </c>
      <c r="AH52" t="s">
        <v>79</v>
      </c>
      <c r="AI52" t="s">
        <v>80</v>
      </c>
      <c r="AK52" s="3">
        <v>42239</v>
      </c>
      <c r="AL52" s="4">
        <v>0.79738425925925915</v>
      </c>
      <c r="AM52" t="s">
        <v>716</v>
      </c>
      <c r="AN52" t="s">
        <v>194</v>
      </c>
      <c r="AO52">
        <f t="shared" si="0"/>
        <v>19</v>
      </c>
      <c r="AP52" t="s">
        <v>717</v>
      </c>
    </row>
    <row r="53" spans="1:42" x14ac:dyDescent="0.25">
      <c r="A53">
        <v>52</v>
      </c>
      <c r="B53" t="s">
        <v>722</v>
      </c>
      <c r="C53" t="s">
        <v>723</v>
      </c>
      <c r="D53" t="s">
        <v>724</v>
      </c>
      <c r="E53">
        <v>298</v>
      </c>
      <c r="F53" s="1">
        <v>0.33189999999999997</v>
      </c>
      <c r="G53">
        <v>98.9</v>
      </c>
      <c r="H53">
        <v>98.9</v>
      </c>
      <c r="I53">
        <v>3559</v>
      </c>
      <c r="J53" t="s">
        <v>72</v>
      </c>
      <c r="K53">
        <v>6201</v>
      </c>
      <c r="L53" s="1">
        <v>7.1999999999999998E-3</v>
      </c>
      <c r="M53">
        <v>7999</v>
      </c>
      <c r="N53" s="1">
        <v>7.1000000000000004E-3</v>
      </c>
      <c r="O53">
        <v>791101.1</v>
      </c>
      <c r="P53" s="1">
        <v>1.43E-2</v>
      </c>
      <c r="Q53">
        <v>92930</v>
      </c>
      <c r="R53" t="s">
        <v>154</v>
      </c>
      <c r="S53" t="s">
        <v>154</v>
      </c>
      <c r="T53">
        <v>27</v>
      </c>
      <c r="U53">
        <v>17776</v>
      </c>
      <c r="Z53" t="s">
        <v>74</v>
      </c>
      <c r="AA53" t="s">
        <v>394</v>
      </c>
      <c r="AB53" s="2">
        <v>41592.604097222225</v>
      </c>
      <c r="AC53" t="s">
        <v>236</v>
      </c>
      <c r="AD53" t="s">
        <v>77</v>
      </c>
      <c r="AE53">
        <v>105194</v>
      </c>
      <c r="AF53" t="s">
        <v>159</v>
      </c>
      <c r="AG53" s="1">
        <v>1</v>
      </c>
      <c r="AH53" t="s">
        <v>79</v>
      </c>
      <c r="AI53" t="s">
        <v>80</v>
      </c>
      <c r="AK53" s="3">
        <v>42241</v>
      </c>
      <c r="AL53" s="4">
        <v>0.87513888888888891</v>
      </c>
      <c r="AM53" t="s">
        <v>725</v>
      </c>
      <c r="AN53" t="s">
        <v>251</v>
      </c>
      <c r="AO53">
        <f t="shared" si="0"/>
        <v>21</v>
      </c>
      <c r="AP53" t="s">
        <v>726</v>
      </c>
    </row>
    <row r="54" spans="1:42" x14ac:dyDescent="0.25">
      <c r="A54">
        <v>53</v>
      </c>
      <c r="B54" t="s">
        <v>731</v>
      </c>
      <c r="C54" t="s">
        <v>732</v>
      </c>
      <c r="D54" t="s">
        <v>733</v>
      </c>
      <c r="E54">
        <v>588</v>
      </c>
      <c r="F54" s="1">
        <v>0.26329999999999998</v>
      </c>
      <c r="G54">
        <v>154.84</v>
      </c>
      <c r="H54">
        <v>154.84</v>
      </c>
      <c r="I54">
        <v>868</v>
      </c>
      <c r="J54" t="s">
        <v>72</v>
      </c>
      <c r="K54">
        <v>6151</v>
      </c>
      <c r="L54" s="1">
        <v>7.1999999999999998E-3</v>
      </c>
      <c r="M54">
        <v>8187</v>
      </c>
      <c r="N54" s="1">
        <v>7.1999999999999998E-3</v>
      </c>
      <c r="O54">
        <v>1267675.08</v>
      </c>
      <c r="P54" s="1">
        <v>2.29E-2</v>
      </c>
      <c r="Q54">
        <v>68692</v>
      </c>
      <c r="R54">
        <v>137617</v>
      </c>
      <c r="S54" s="1">
        <v>0.49919999999999998</v>
      </c>
      <c r="T54">
        <v>6</v>
      </c>
      <c r="U54">
        <v>1424</v>
      </c>
      <c r="Y54" t="s">
        <v>105</v>
      </c>
      <c r="Z54" t="s">
        <v>74</v>
      </c>
      <c r="AA54" t="s">
        <v>734</v>
      </c>
      <c r="AB54" s="2">
        <v>40342.042372685188</v>
      </c>
      <c r="AC54" t="s">
        <v>224</v>
      </c>
      <c r="AD54" t="s">
        <v>383</v>
      </c>
      <c r="AE54">
        <v>70623</v>
      </c>
      <c r="AF54" t="s">
        <v>78</v>
      </c>
      <c r="AG54" s="1">
        <v>0.97350000000000003</v>
      </c>
      <c r="AH54" t="s">
        <v>79</v>
      </c>
      <c r="AI54" t="s">
        <v>80</v>
      </c>
      <c r="AK54" s="3">
        <v>42242</v>
      </c>
      <c r="AL54" s="4">
        <v>0.91437500000000005</v>
      </c>
      <c r="AM54" t="s">
        <v>735</v>
      </c>
      <c r="AN54" t="s">
        <v>135</v>
      </c>
      <c r="AO54">
        <f t="shared" si="0"/>
        <v>21</v>
      </c>
      <c r="AP54" t="s">
        <v>736</v>
      </c>
    </row>
    <row r="55" spans="1:42" x14ac:dyDescent="0.25">
      <c r="A55">
        <v>54</v>
      </c>
      <c r="B55" t="s">
        <v>743</v>
      </c>
      <c r="C55" t="s">
        <v>744</v>
      </c>
      <c r="E55">
        <v>84</v>
      </c>
      <c r="F55" s="1">
        <v>0.39290000000000003</v>
      </c>
      <c r="G55">
        <v>33</v>
      </c>
      <c r="H55">
        <v>33</v>
      </c>
      <c r="I55">
        <v>16545</v>
      </c>
      <c r="J55" t="s">
        <v>72</v>
      </c>
      <c r="K55">
        <v>6122</v>
      </c>
      <c r="L55" s="1">
        <v>7.1999999999999998E-3</v>
      </c>
      <c r="M55">
        <v>6967</v>
      </c>
      <c r="N55" s="1">
        <v>6.1000000000000004E-3</v>
      </c>
      <c r="O55">
        <v>229911</v>
      </c>
      <c r="P55" s="1">
        <v>4.1999999999999997E-3</v>
      </c>
      <c r="Q55">
        <v>49316</v>
      </c>
      <c r="R55">
        <v>324009</v>
      </c>
      <c r="S55" s="1">
        <v>0.1522</v>
      </c>
      <c r="T55">
        <v>24</v>
      </c>
      <c r="U55">
        <v>12465</v>
      </c>
      <c r="Y55" t="s">
        <v>73</v>
      </c>
      <c r="Z55" t="s">
        <v>74</v>
      </c>
      <c r="AA55" t="s">
        <v>745</v>
      </c>
      <c r="AB55" s="2">
        <v>41160.864016203705</v>
      </c>
      <c r="AC55" t="s">
        <v>224</v>
      </c>
      <c r="AD55" t="s">
        <v>237</v>
      </c>
      <c r="AE55">
        <v>9519</v>
      </c>
      <c r="AF55" t="s">
        <v>78</v>
      </c>
      <c r="AG55" s="1">
        <v>0.97440000000000004</v>
      </c>
      <c r="AH55" t="s">
        <v>79</v>
      </c>
      <c r="AI55" t="s">
        <v>80</v>
      </c>
      <c r="AK55" s="3">
        <v>42245</v>
      </c>
      <c r="AL55" s="4">
        <v>0.87586805555555547</v>
      </c>
      <c r="AM55" t="s">
        <v>746</v>
      </c>
      <c r="AN55" t="s">
        <v>161</v>
      </c>
      <c r="AO55">
        <f t="shared" si="0"/>
        <v>21</v>
      </c>
      <c r="AP55" t="s">
        <v>747</v>
      </c>
    </row>
    <row r="56" spans="1:42" x14ac:dyDescent="0.25">
      <c r="A56">
        <v>55</v>
      </c>
      <c r="B56" t="s">
        <v>753</v>
      </c>
      <c r="C56" t="s">
        <v>754</v>
      </c>
      <c r="D56" t="s">
        <v>755</v>
      </c>
      <c r="E56">
        <v>298</v>
      </c>
      <c r="F56" s="1">
        <v>0.42949999999999999</v>
      </c>
      <c r="G56">
        <v>128</v>
      </c>
      <c r="H56">
        <v>128</v>
      </c>
      <c r="I56">
        <v>15609</v>
      </c>
      <c r="J56" t="s">
        <v>72</v>
      </c>
      <c r="K56">
        <v>6067</v>
      </c>
      <c r="L56" s="1">
        <v>7.1000000000000004E-3</v>
      </c>
      <c r="M56">
        <v>9502</v>
      </c>
      <c r="N56" s="1">
        <v>8.3999999999999995E-3</v>
      </c>
      <c r="O56">
        <v>1216256</v>
      </c>
      <c r="P56" s="1">
        <v>2.1999999999999999E-2</v>
      </c>
      <c r="Q56">
        <v>89778</v>
      </c>
      <c r="R56" t="s">
        <v>154</v>
      </c>
      <c r="S56" t="s">
        <v>154</v>
      </c>
      <c r="T56">
        <v>19</v>
      </c>
      <c r="U56">
        <v>8612</v>
      </c>
      <c r="Z56" t="s">
        <v>74</v>
      </c>
      <c r="AA56" t="s">
        <v>756</v>
      </c>
      <c r="AB56" s="2">
        <v>41221.716793981483</v>
      </c>
      <c r="AC56" t="s">
        <v>236</v>
      </c>
      <c r="AD56" t="s">
        <v>77</v>
      </c>
      <c r="AE56">
        <v>253048</v>
      </c>
      <c r="AF56" t="s">
        <v>159</v>
      </c>
      <c r="AG56" s="1">
        <v>1</v>
      </c>
      <c r="AH56" t="s">
        <v>79</v>
      </c>
      <c r="AI56" t="s">
        <v>80</v>
      </c>
      <c r="AK56" s="3">
        <v>42244</v>
      </c>
      <c r="AL56" s="4">
        <v>1.6863425925925928E-2</v>
      </c>
      <c r="AM56" t="s">
        <v>757</v>
      </c>
      <c r="AN56" t="s">
        <v>111</v>
      </c>
      <c r="AO56">
        <f t="shared" si="0"/>
        <v>0</v>
      </c>
      <c r="AP56" t="s">
        <v>758</v>
      </c>
    </row>
    <row r="57" spans="1:42" x14ac:dyDescent="0.25">
      <c r="A57">
        <v>56</v>
      </c>
      <c r="B57" t="s">
        <v>765</v>
      </c>
      <c r="C57" t="s">
        <v>766</v>
      </c>
      <c r="D57">
        <v>8777</v>
      </c>
      <c r="E57">
        <v>124</v>
      </c>
      <c r="F57" s="1">
        <v>0.19350000000000001</v>
      </c>
      <c r="G57">
        <v>24</v>
      </c>
      <c r="H57">
        <v>24</v>
      </c>
      <c r="I57">
        <v>28595</v>
      </c>
      <c r="J57" t="s">
        <v>72</v>
      </c>
      <c r="K57">
        <v>5970</v>
      </c>
      <c r="L57" s="1">
        <v>7.0000000000000001E-3</v>
      </c>
      <c r="M57">
        <v>6443</v>
      </c>
      <c r="N57" s="1">
        <v>5.7000000000000002E-3</v>
      </c>
      <c r="O57">
        <v>154632</v>
      </c>
      <c r="P57" s="1">
        <v>2.8E-3</v>
      </c>
      <c r="Q57">
        <v>26010</v>
      </c>
      <c r="R57">
        <v>29107</v>
      </c>
      <c r="S57" s="1">
        <v>0.89359999999999995</v>
      </c>
      <c r="T57">
        <v>3</v>
      </c>
      <c r="U57">
        <v>2936</v>
      </c>
      <c r="Y57" t="s">
        <v>542</v>
      </c>
      <c r="Z57" t="s">
        <v>74</v>
      </c>
      <c r="AA57" t="s">
        <v>767</v>
      </c>
      <c r="AB57" s="2">
        <v>41586.606180555558</v>
      </c>
      <c r="AC57" t="s">
        <v>407</v>
      </c>
      <c r="AD57" t="s">
        <v>307</v>
      </c>
      <c r="AE57">
        <v>1550</v>
      </c>
      <c r="AF57" t="s">
        <v>78</v>
      </c>
      <c r="AG57" s="1">
        <v>0.98009999999999997</v>
      </c>
      <c r="AH57" t="s">
        <v>79</v>
      </c>
      <c r="AI57" t="s">
        <v>80</v>
      </c>
      <c r="AK57" s="3">
        <v>42245</v>
      </c>
      <c r="AL57" s="4">
        <v>0.90972222222222221</v>
      </c>
      <c r="AM57" t="s">
        <v>768</v>
      </c>
      <c r="AN57" t="s">
        <v>161</v>
      </c>
      <c r="AO57">
        <f t="shared" si="0"/>
        <v>21</v>
      </c>
      <c r="AP57" t="s">
        <v>769</v>
      </c>
    </row>
    <row r="58" spans="1:42" x14ac:dyDescent="0.25">
      <c r="A58">
        <v>57</v>
      </c>
      <c r="B58" t="s">
        <v>776</v>
      </c>
      <c r="C58" t="s">
        <v>777</v>
      </c>
      <c r="E58">
        <v>93</v>
      </c>
      <c r="F58" s="1">
        <v>0.2581</v>
      </c>
      <c r="G58">
        <v>24</v>
      </c>
      <c r="H58">
        <v>24</v>
      </c>
      <c r="I58">
        <v>74772</v>
      </c>
      <c r="J58" t="s">
        <v>72</v>
      </c>
      <c r="K58">
        <v>5969</v>
      </c>
      <c r="L58" s="1">
        <v>7.0000000000000001E-3</v>
      </c>
      <c r="M58">
        <v>6896</v>
      </c>
      <c r="N58" s="1">
        <v>6.1000000000000004E-3</v>
      </c>
      <c r="O58">
        <v>165504</v>
      </c>
      <c r="P58" s="1">
        <v>3.0000000000000001E-3</v>
      </c>
      <c r="Q58">
        <v>42508</v>
      </c>
      <c r="R58">
        <v>108832</v>
      </c>
      <c r="S58" s="1">
        <v>0.3906</v>
      </c>
      <c r="T58">
        <v>6</v>
      </c>
      <c r="U58">
        <v>6466</v>
      </c>
      <c r="Y58" t="s">
        <v>105</v>
      </c>
      <c r="Z58" t="s">
        <v>175</v>
      </c>
      <c r="AA58" t="s">
        <v>778</v>
      </c>
      <c r="AB58" s="2">
        <v>41605.982939814814</v>
      </c>
      <c r="AC58" t="s">
        <v>224</v>
      </c>
      <c r="AD58" t="s">
        <v>779</v>
      </c>
      <c r="AE58">
        <v>9200</v>
      </c>
      <c r="AF58" t="s">
        <v>78</v>
      </c>
      <c r="AG58" s="1">
        <v>0.94899999999999995</v>
      </c>
      <c r="AH58" t="s">
        <v>79</v>
      </c>
      <c r="AI58" t="s">
        <v>80</v>
      </c>
      <c r="AK58" s="3">
        <v>42244</v>
      </c>
      <c r="AL58" s="4">
        <v>0.83333333333333337</v>
      </c>
      <c r="AM58" t="s">
        <v>780</v>
      </c>
      <c r="AN58" t="s">
        <v>111</v>
      </c>
      <c r="AO58">
        <f t="shared" si="0"/>
        <v>20</v>
      </c>
      <c r="AP58" t="s">
        <v>781</v>
      </c>
    </row>
    <row r="59" spans="1:42" x14ac:dyDescent="0.25">
      <c r="A59">
        <v>58</v>
      </c>
      <c r="B59" t="s">
        <v>786</v>
      </c>
      <c r="C59" t="s">
        <v>787</v>
      </c>
      <c r="E59">
        <v>299</v>
      </c>
      <c r="F59" s="1">
        <v>0.41539999999999999</v>
      </c>
      <c r="G59">
        <v>124.2</v>
      </c>
      <c r="H59">
        <v>124.2</v>
      </c>
      <c r="I59">
        <v>543</v>
      </c>
      <c r="J59" t="s">
        <v>72</v>
      </c>
      <c r="K59">
        <v>5899</v>
      </c>
      <c r="L59" s="1">
        <v>6.8999999999999999E-3</v>
      </c>
      <c r="M59">
        <v>7338</v>
      </c>
      <c r="N59" s="1">
        <v>6.4999999999999997E-3</v>
      </c>
      <c r="O59">
        <v>911379.6</v>
      </c>
      <c r="P59" s="1">
        <v>1.6500000000000001E-2</v>
      </c>
      <c r="Q59">
        <v>24972</v>
      </c>
      <c r="R59">
        <v>98479</v>
      </c>
      <c r="S59" s="1">
        <v>0.25359999999999999</v>
      </c>
      <c r="T59">
        <v>4</v>
      </c>
      <c r="U59">
        <v>950</v>
      </c>
      <c r="Y59" t="s">
        <v>788</v>
      </c>
      <c r="Z59" t="s">
        <v>789</v>
      </c>
      <c r="AA59" t="s">
        <v>790</v>
      </c>
      <c r="AB59" s="2">
        <v>41206.774745370371</v>
      </c>
      <c r="AC59" t="s">
        <v>224</v>
      </c>
      <c r="AD59" t="s">
        <v>383</v>
      </c>
      <c r="AE59">
        <v>54256</v>
      </c>
      <c r="AF59" t="s">
        <v>78</v>
      </c>
      <c r="AG59" s="1">
        <v>0.98599999999999999</v>
      </c>
      <c r="AH59" t="s">
        <v>79</v>
      </c>
      <c r="AI59" t="s">
        <v>80</v>
      </c>
      <c r="AK59" s="3">
        <v>42244</v>
      </c>
      <c r="AL59" s="4">
        <v>0.70731481481481484</v>
      </c>
      <c r="AM59" t="s">
        <v>791</v>
      </c>
      <c r="AN59" t="s">
        <v>111</v>
      </c>
      <c r="AO59">
        <f t="shared" si="0"/>
        <v>16</v>
      </c>
      <c r="AP59" t="s">
        <v>792</v>
      </c>
    </row>
    <row r="60" spans="1:42" x14ac:dyDescent="0.25">
      <c r="A60">
        <v>59</v>
      </c>
      <c r="B60" t="s">
        <v>796</v>
      </c>
      <c r="C60" t="s">
        <v>797</v>
      </c>
      <c r="D60">
        <v>1403</v>
      </c>
      <c r="E60">
        <v>100</v>
      </c>
      <c r="F60" s="1">
        <v>0.21</v>
      </c>
      <c r="G60">
        <v>21</v>
      </c>
      <c r="H60">
        <v>21</v>
      </c>
      <c r="I60">
        <v>102628</v>
      </c>
      <c r="J60" t="s">
        <v>72</v>
      </c>
      <c r="K60">
        <v>5883</v>
      </c>
      <c r="L60" s="1">
        <v>6.8999999999999999E-3</v>
      </c>
      <c r="M60">
        <v>7514</v>
      </c>
      <c r="N60" s="1">
        <v>6.6E-3</v>
      </c>
      <c r="O60">
        <v>157794</v>
      </c>
      <c r="P60" s="1">
        <v>2.8999999999999998E-3</v>
      </c>
      <c r="Q60">
        <v>33448</v>
      </c>
      <c r="R60">
        <v>78057</v>
      </c>
      <c r="S60" s="1">
        <v>0.42849999999999999</v>
      </c>
      <c r="T60">
        <v>17</v>
      </c>
      <c r="U60">
        <v>5279</v>
      </c>
      <c r="Y60" t="s">
        <v>189</v>
      </c>
      <c r="Z60" t="s">
        <v>175</v>
      </c>
      <c r="AA60" t="s">
        <v>798</v>
      </c>
      <c r="AB60" s="2">
        <v>41566.042013888888</v>
      </c>
      <c r="AC60" t="s">
        <v>224</v>
      </c>
      <c r="AD60" t="s">
        <v>237</v>
      </c>
      <c r="AE60">
        <v>5620</v>
      </c>
      <c r="AF60" t="s">
        <v>78</v>
      </c>
      <c r="AG60" s="1">
        <v>0.98570000000000002</v>
      </c>
      <c r="AH60" t="s">
        <v>79</v>
      </c>
      <c r="AI60" t="s">
        <v>80</v>
      </c>
      <c r="AK60" s="3">
        <v>42244</v>
      </c>
      <c r="AL60" s="4">
        <v>0.89692129629629624</v>
      </c>
      <c r="AM60" t="s">
        <v>799</v>
      </c>
      <c r="AN60" t="s">
        <v>111</v>
      </c>
      <c r="AO60">
        <f t="shared" si="0"/>
        <v>21</v>
      </c>
      <c r="AP60" t="s">
        <v>800</v>
      </c>
    </row>
    <row r="61" spans="1:42" x14ac:dyDescent="0.25">
      <c r="A61">
        <v>60</v>
      </c>
      <c r="B61" t="s">
        <v>806</v>
      </c>
      <c r="C61" t="s">
        <v>807</v>
      </c>
      <c r="D61" t="s">
        <v>808</v>
      </c>
      <c r="E61">
        <v>198</v>
      </c>
      <c r="F61" s="1">
        <v>0.13589999999999999</v>
      </c>
      <c r="G61">
        <v>26.9</v>
      </c>
      <c r="H61">
        <v>26.9</v>
      </c>
      <c r="I61">
        <v>21351</v>
      </c>
      <c r="J61" t="s">
        <v>72</v>
      </c>
      <c r="K61">
        <v>5773</v>
      </c>
      <c r="L61" s="1">
        <v>6.7000000000000002E-3</v>
      </c>
      <c r="M61">
        <v>6902</v>
      </c>
      <c r="N61" s="1">
        <v>6.1000000000000004E-3</v>
      </c>
      <c r="O61">
        <v>185663.8</v>
      </c>
      <c r="P61" s="1">
        <v>3.3999999999999998E-3</v>
      </c>
      <c r="Q61">
        <v>3386</v>
      </c>
      <c r="R61">
        <v>24146</v>
      </c>
      <c r="S61" s="1">
        <v>0.14019999999999999</v>
      </c>
      <c r="T61">
        <v>3</v>
      </c>
      <c r="U61">
        <v>1654</v>
      </c>
      <c r="Y61" t="s">
        <v>809</v>
      </c>
      <c r="Z61" t="s">
        <v>175</v>
      </c>
      <c r="AA61" t="s">
        <v>810</v>
      </c>
      <c r="AB61" s="2">
        <v>41815.565185185187</v>
      </c>
      <c r="AC61" t="s">
        <v>76</v>
      </c>
      <c r="AD61" t="s">
        <v>307</v>
      </c>
      <c r="AE61">
        <v>1181</v>
      </c>
      <c r="AF61" t="s">
        <v>78</v>
      </c>
      <c r="AG61" s="1">
        <v>0.98109999999999997</v>
      </c>
      <c r="AH61" t="s">
        <v>79</v>
      </c>
      <c r="AI61" t="s">
        <v>80</v>
      </c>
      <c r="AK61" s="3">
        <v>42243</v>
      </c>
      <c r="AL61" s="4">
        <v>0.48200231481481487</v>
      </c>
      <c r="AM61" t="s">
        <v>811</v>
      </c>
      <c r="AN61" t="s">
        <v>179</v>
      </c>
      <c r="AO61">
        <f t="shared" si="0"/>
        <v>11</v>
      </c>
      <c r="AP61" t="s">
        <v>812</v>
      </c>
    </row>
    <row r="62" spans="1:42" x14ac:dyDescent="0.25">
      <c r="A62">
        <v>61</v>
      </c>
      <c r="B62" t="s">
        <v>818</v>
      </c>
      <c r="C62" t="s">
        <v>819</v>
      </c>
      <c r="E62">
        <v>98</v>
      </c>
      <c r="F62" s="1">
        <v>0.37609999999999999</v>
      </c>
      <c r="G62">
        <v>36.86</v>
      </c>
      <c r="H62">
        <v>36.86</v>
      </c>
      <c r="I62">
        <v>54504</v>
      </c>
      <c r="J62" t="s">
        <v>72</v>
      </c>
      <c r="K62">
        <v>5719</v>
      </c>
      <c r="L62" s="1">
        <v>6.7000000000000002E-3</v>
      </c>
      <c r="M62">
        <v>8387</v>
      </c>
      <c r="N62" s="1">
        <v>7.4000000000000003E-3</v>
      </c>
      <c r="O62">
        <v>309144.82</v>
      </c>
      <c r="P62" s="1">
        <v>5.5999999999999999E-3</v>
      </c>
      <c r="Q62">
        <v>22562</v>
      </c>
      <c r="R62">
        <v>31804</v>
      </c>
      <c r="S62" s="1">
        <v>0.70940000000000003</v>
      </c>
      <c r="T62">
        <v>4</v>
      </c>
      <c r="U62">
        <v>3372</v>
      </c>
      <c r="Y62" t="s">
        <v>105</v>
      </c>
      <c r="Z62" t="s">
        <v>175</v>
      </c>
      <c r="AA62" t="s">
        <v>820</v>
      </c>
      <c r="AB62" s="2">
        <v>41270.031307870369</v>
      </c>
      <c r="AC62" t="s">
        <v>224</v>
      </c>
      <c r="AD62" t="s">
        <v>193</v>
      </c>
      <c r="AE62">
        <v>55638</v>
      </c>
      <c r="AF62" t="s">
        <v>78</v>
      </c>
      <c r="AG62" s="1">
        <v>0.96050000000000002</v>
      </c>
      <c r="AH62" t="s">
        <v>79</v>
      </c>
      <c r="AI62" t="s">
        <v>80</v>
      </c>
      <c r="AK62" s="3">
        <v>42242</v>
      </c>
      <c r="AL62" s="4">
        <v>0.8493750000000001</v>
      </c>
      <c r="AM62" t="s">
        <v>821</v>
      </c>
      <c r="AN62" t="s">
        <v>135</v>
      </c>
      <c r="AO62">
        <f t="shared" si="0"/>
        <v>20</v>
      </c>
      <c r="AP62" t="s">
        <v>822</v>
      </c>
    </row>
    <row r="63" spans="1:42" x14ac:dyDescent="0.25">
      <c r="A63">
        <v>62</v>
      </c>
      <c r="B63" t="s">
        <v>827</v>
      </c>
      <c r="C63" t="s">
        <v>828</v>
      </c>
      <c r="D63" t="s">
        <v>829</v>
      </c>
      <c r="E63">
        <v>199</v>
      </c>
      <c r="F63" s="1">
        <v>0.42780000000000001</v>
      </c>
      <c r="G63">
        <v>85.14</v>
      </c>
      <c r="H63">
        <v>85.14</v>
      </c>
      <c r="I63">
        <v>11982</v>
      </c>
      <c r="J63" t="s">
        <v>72</v>
      </c>
      <c r="K63">
        <v>5683</v>
      </c>
      <c r="L63" s="1">
        <v>6.6E-3</v>
      </c>
      <c r="M63">
        <v>6341</v>
      </c>
      <c r="N63" s="1">
        <v>5.5999999999999999E-3</v>
      </c>
      <c r="O63">
        <v>539872.74</v>
      </c>
      <c r="P63" s="1">
        <v>9.7999999999999997E-3</v>
      </c>
      <c r="Q63">
        <v>52046</v>
      </c>
      <c r="R63">
        <v>218369</v>
      </c>
      <c r="S63" s="1">
        <v>0.23830000000000001</v>
      </c>
      <c r="T63">
        <v>13</v>
      </c>
      <c r="U63">
        <v>3838</v>
      </c>
      <c r="W63" t="s">
        <v>830</v>
      </c>
      <c r="Y63" t="s">
        <v>189</v>
      </c>
      <c r="Z63" t="s">
        <v>74</v>
      </c>
      <c r="AA63" t="s">
        <v>831</v>
      </c>
      <c r="AB63" s="2">
        <v>41160.727488425924</v>
      </c>
      <c r="AC63" t="s">
        <v>236</v>
      </c>
      <c r="AD63" t="s">
        <v>358</v>
      </c>
      <c r="AE63">
        <v>304738</v>
      </c>
      <c r="AF63" t="s">
        <v>78</v>
      </c>
      <c r="AG63" s="1">
        <v>0.99039999999999995</v>
      </c>
      <c r="AH63" t="s">
        <v>79</v>
      </c>
      <c r="AI63" t="s">
        <v>80</v>
      </c>
      <c r="AK63" s="3">
        <v>42240</v>
      </c>
      <c r="AL63" s="4">
        <v>0.41666666666666669</v>
      </c>
      <c r="AM63" s="5">
        <v>0.6598842592592592</v>
      </c>
      <c r="AN63" t="s">
        <v>82</v>
      </c>
      <c r="AO63">
        <f t="shared" si="0"/>
        <v>10</v>
      </c>
      <c r="AP63" t="s">
        <v>832</v>
      </c>
    </row>
    <row r="64" spans="1:42" x14ac:dyDescent="0.25">
      <c r="A64">
        <v>63</v>
      </c>
      <c r="B64" t="s">
        <v>838</v>
      </c>
      <c r="C64" t="s">
        <v>839</v>
      </c>
      <c r="E64">
        <v>316</v>
      </c>
      <c r="F64" s="1">
        <v>0.495</v>
      </c>
      <c r="G64">
        <v>156.41999999999999</v>
      </c>
      <c r="H64">
        <v>156.41999999999999</v>
      </c>
      <c r="I64">
        <v>1291</v>
      </c>
      <c r="J64" t="s">
        <v>72</v>
      </c>
      <c r="K64">
        <v>5671</v>
      </c>
      <c r="L64" s="1">
        <v>6.6E-3</v>
      </c>
      <c r="M64">
        <v>6281</v>
      </c>
      <c r="N64" s="1">
        <v>5.4999999999999997E-3</v>
      </c>
      <c r="O64">
        <v>982474.02</v>
      </c>
      <c r="P64" s="1">
        <v>1.78E-2</v>
      </c>
      <c r="Q64">
        <v>45936</v>
      </c>
      <c r="R64">
        <v>244396</v>
      </c>
      <c r="S64" s="1">
        <v>0.188</v>
      </c>
      <c r="T64">
        <v>9</v>
      </c>
      <c r="U64">
        <v>1052</v>
      </c>
      <c r="Y64" t="s">
        <v>840</v>
      </c>
      <c r="Z64" t="s">
        <v>74</v>
      </c>
      <c r="AA64" t="s">
        <v>841</v>
      </c>
      <c r="AB64" s="2">
        <v>41332.681087962963</v>
      </c>
      <c r="AC64" t="s">
        <v>224</v>
      </c>
      <c r="AD64" t="s">
        <v>323</v>
      </c>
      <c r="AE64">
        <v>100922</v>
      </c>
      <c r="AF64" t="s">
        <v>78</v>
      </c>
      <c r="AG64" s="1">
        <v>0.98070000000000002</v>
      </c>
      <c r="AH64" t="s">
        <v>79</v>
      </c>
      <c r="AI64" t="s">
        <v>80</v>
      </c>
      <c r="AK64" s="3">
        <v>42246</v>
      </c>
      <c r="AL64" s="4">
        <v>0.49951388888888887</v>
      </c>
      <c r="AM64" t="s">
        <v>842</v>
      </c>
      <c r="AN64" t="s">
        <v>194</v>
      </c>
      <c r="AO64">
        <f t="shared" si="0"/>
        <v>11</v>
      </c>
      <c r="AP64" t="s">
        <v>843</v>
      </c>
    </row>
    <row r="65" spans="1:42" x14ac:dyDescent="0.25">
      <c r="A65">
        <v>64</v>
      </c>
      <c r="B65" t="s">
        <v>847</v>
      </c>
      <c r="C65" t="s">
        <v>848</v>
      </c>
      <c r="D65">
        <v>8607</v>
      </c>
      <c r="E65">
        <v>298</v>
      </c>
      <c r="F65" s="1">
        <v>0.107</v>
      </c>
      <c r="G65">
        <v>31.9</v>
      </c>
      <c r="H65">
        <v>31.9</v>
      </c>
      <c r="I65">
        <v>28317</v>
      </c>
      <c r="J65" t="s">
        <v>72</v>
      </c>
      <c r="K65">
        <v>5612</v>
      </c>
      <c r="L65" s="1">
        <v>6.6E-3</v>
      </c>
      <c r="M65">
        <v>7214</v>
      </c>
      <c r="N65" s="1">
        <v>6.4000000000000003E-3</v>
      </c>
      <c r="O65">
        <v>230126.6</v>
      </c>
      <c r="P65" s="1">
        <v>4.1999999999999997E-3</v>
      </c>
      <c r="Q65">
        <v>94804</v>
      </c>
      <c r="R65" t="s">
        <v>154</v>
      </c>
      <c r="S65" t="s">
        <v>154</v>
      </c>
      <c r="T65">
        <v>82</v>
      </c>
      <c r="U65">
        <v>20577</v>
      </c>
      <c r="W65" t="s">
        <v>849</v>
      </c>
      <c r="Z65" t="s">
        <v>175</v>
      </c>
      <c r="AA65" t="s">
        <v>850</v>
      </c>
      <c r="AB65" s="2">
        <v>41887.707673611112</v>
      </c>
      <c r="AC65" t="s">
        <v>224</v>
      </c>
      <c r="AD65" t="s">
        <v>851</v>
      </c>
      <c r="AE65">
        <v>9395</v>
      </c>
      <c r="AF65" t="s">
        <v>159</v>
      </c>
      <c r="AG65" s="1">
        <v>1</v>
      </c>
      <c r="AH65" t="s">
        <v>79</v>
      </c>
      <c r="AI65" t="s">
        <v>80</v>
      </c>
      <c r="AK65" s="3">
        <v>42244</v>
      </c>
      <c r="AL65" s="4">
        <v>0.58831018518518519</v>
      </c>
      <c r="AM65" t="s">
        <v>852</v>
      </c>
      <c r="AN65" t="s">
        <v>111</v>
      </c>
      <c r="AO65">
        <f t="shared" si="0"/>
        <v>14</v>
      </c>
      <c r="AP65" t="s">
        <v>853</v>
      </c>
    </row>
    <row r="66" spans="1:42" x14ac:dyDescent="0.25">
      <c r="A66">
        <v>65</v>
      </c>
      <c r="B66" t="s">
        <v>861</v>
      </c>
      <c r="C66" t="s">
        <v>862</v>
      </c>
      <c r="E66">
        <v>203</v>
      </c>
      <c r="F66" s="1">
        <v>0.1166</v>
      </c>
      <c r="G66">
        <v>23.66</v>
      </c>
      <c r="H66">
        <v>23.66</v>
      </c>
      <c r="I66">
        <v>11132</v>
      </c>
      <c r="J66" t="s">
        <v>72</v>
      </c>
      <c r="K66">
        <v>5607</v>
      </c>
      <c r="L66" s="1">
        <v>6.4999999999999997E-3</v>
      </c>
      <c r="M66">
        <v>6731</v>
      </c>
      <c r="N66" s="1">
        <v>5.8999999999999999E-3</v>
      </c>
      <c r="O66">
        <v>159255.46</v>
      </c>
      <c r="P66" s="1">
        <v>2.8999999999999998E-3</v>
      </c>
      <c r="Q66">
        <v>25206</v>
      </c>
      <c r="R66">
        <v>21863</v>
      </c>
      <c r="S66" s="1">
        <v>1.1529</v>
      </c>
      <c r="T66">
        <v>0</v>
      </c>
      <c r="U66">
        <v>2260</v>
      </c>
      <c r="Y66" t="s">
        <v>596</v>
      </c>
      <c r="Z66" t="s">
        <v>175</v>
      </c>
      <c r="AA66" t="s">
        <v>863</v>
      </c>
      <c r="AB66" s="2">
        <v>41192.684930555559</v>
      </c>
      <c r="AC66" t="s">
        <v>76</v>
      </c>
      <c r="AD66" t="s">
        <v>779</v>
      </c>
      <c r="AE66">
        <v>3193</v>
      </c>
      <c r="AF66" t="s">
        <v>78</v>
      </c>
      <c r="AG66" s="1">
        <v>0.96550000000000002</v>
      </c>
      <c r="AH66" t="s">
        <v>79</v>
      </c>
      <c r="AI66" t="s">
        <v>80</v>
      </c>
      <c r="AK66" s="3">
        <v>42240</v>
      </c>
      <c r="AL66" s="4">
        <v>0.61172453703703711</v>
      </c>
      <c r="AM66" s="5">
        <v>0.85494212962962957</v>
      </c>
      <c r="AN66" t="s">
        <v>82</v>
      </c>
      <c r="AO66">
        <f t="shared" si="0"/>
        <v>14</v>
      </c>
      <c r="AP66" t="s">
        <v>864</v>
      </c>
    </row>
    <row r="67" spans="1:42" x14ac:dyDescent="0.25">
      <c r="A67">
        <v>66</v>
      </c>
      <c r="B67" t="s">
        <v>868</v>
      </c>
      <c r="C67" t="s">
        <v>869</v>
      </c>
      <c r="E67">
        <v>158</v>
      </c>
      <c r="F67" s="1">
        <v>0.5</v>
      </c>
      <c r="G67">
        <v>79</v>
      </c>
      <c r="H67">
        <v>79</v>
      </c>
      <c r="I67">
        <v>7970</v>
      </c>
      <c r="J67" t="s">
        <v>72</v>
      </c>
      <c r="K67">
        <v>5516</v>
      </c>
      <c r="L67" s="1">
        <v>6.4000000000000003E-3</v>
      </c>
      <c r="M67">
        <v>6027</v>
      </c>
      <c r="N67" s="1">
        <v>5.3E-3</v>
      </c>
      <c r="O67">
        <v>476133</v>
      </c>
      <c r="P67" s="1">
        <v>8.6E-3</v>
      </c>
      <c r="Q67">
        <v>10964</v>
      </c>
      <c r="R67">
        <v>48315</v>
      </c>
      <c r="S67" s="1">
        <v>0.22689999999999999</v>
      </c>
      <c r="T67">
        <v>3</v>
      </c>
      <c r="U67">
        <v>1729</v>
      </c>
      <c r="Y67" t="s">
        <v>870</v>
      </c>
      <c r="Z67" t="s">
        <v>175</v>
      </c>
      <c r="AA67" t="s">
        <v>871</v>
      </c>
      <c r="AB67" s="2">
        <v>41304.590682870374</v>
      </c>
      <c r="AC67" t="s">
        <v>108</v>
      </c>
      <c r="AD67" t="s">
        <v>193</v>
      </c>
      <c r="AE67">
        <v>2329</v>
      </c>
      <c r="AF67" t="s">
        <v>78</v>
      </c>
      <c r="AG67" s="1">
        <v>0.98509999999999998</v>
      </c>
      <c r="AH67" t="s">
        <v>79</v>
      </c>
      <c r="AI67" t="s">
        <v>80</v>
      </c>
      <c r="AK67" s="3">
        <v>42244</v>
      </c>
      <c r="AL67" s="4">
        <v>0.66712962962962974</v>
      </c>
      <c r="AM67" t="s">
        <v>872</v>
      </c>
      <c r="AN67" t="s">
        <v>111</v>
      </c>
      <c r="AO67">
        <f t="shared" ref="AO67:AO125" si="1">HOUR(AL67)</f>
        <v>16</v>
      </c>
      <c r="AP67" t="s">
        <v>873</v>
      </c>
    </row>
    <row r="68" spans="1:42" x14ac:dyDescent="0.25">
      <c r="A68">
        <v>67</v>
      </c>
      <c r="B68" t="s">
        <v>878</v>
      </c>
      <c r="C68" t="s">
        <v>595</v>
      </c>
      <c r="E68">
        <v>321</v>
      </c>
      <c r="F68" s="1">
        <v>9.35E-2</v>
      </c>
      <c r="G68">
        <v>30</v>
      </c>
      <c r="H68">
        <v>30</v>
      </c>
      <c r="I68">
        <v>195892</v>
      </c>
      <c r="J68" t="s">
        <v>72</v>
      </c>
      <c r="K68">
        <v>5476</v>
      </c>
      <c r="L68" s="1">
        <v>6.4000000000000003E-3</v>
      </c>
      <c r="M68">
        <v>6958</v>
      </c>
      <c r="N68" s="1">
        <v>6.1000000000000004E-3</v>
      </c>
      <c r="O68">
        <v>208740</v>
      </c>
      <c r="P68" s="1">
        <v>3.8E-3</v>
      </c>
      <c r="Q68">
        <v>15944</v>
      </c>
      <c r="R68">
        <v>107914</v>
      </c>
      <c r="S68" s="1">
        <v>0.1477</v>
      </c>
      <c r="T68">
        <v>9</v>
      </c>
      <c r="U68">
        <v>3809</v>
      </c>
      <c r="Y68" t="s">
        <v>425</v>
      </c>
      <c r="Z68" t="s">
        <v>175</v>
      </c>
      <c r="AA68" t="s">
        <v>879</v>
      </c>
      <c r="AB68" s="2">
        <v>39895.706932870373</v>
      </c>
      <c r="AC68" t="s">
        <v>224</v>
      </c>
      <c r="AD68" t="s">
        <v>109</v>
      </c>
      <c r="AE68">
        <v>14282</v>
      </c>
      <c r="AF68" t="s">
        <v>78</v>
      </c>
      <c r="AG68" s="1">
        <v>0.96899999999999997</v>
      </c>
      <c r="AH68" t="s">
        <v>79</v>
      </c>
      <c r="AI68" t="s">
        <v>80</v>
      </c>
      <c r="AK68" s="3">
        <v>42243</v>
      </c>
      <c r="AL68" s="4">
        <v>0.73478009259259258</v>
      </c>
      <c r="AM68" t="s">
        <v>880</v>
      </c>
      <c r="AN68" t="s">
        <v>179</v>
      </c>
      <c r="AO68">
        <f t="shared" si="1"/>
        <v>17</v>
      </c>
      <c r="AP68" t="s">
        <v>881</v>
      </c>
    </row>
    <row r="69" spans="1:42" x14ac:dyDescent="0.25">
      <c r="A69">
        <v>68</v>
      </c>
      <c r="B69" t="s">
        <v>885</v>
      </c>
      <c r="C69" t="s">
        <v>886</v>
      </c>
      <c r="D69" t="s">
        <v>887</v>
      </c>
      <c r="E69">
        <v>99</v>
      </c>
      <c r="F69" s="1">
        <v>0.18790000000000001</v>
      </c>
      <c r="G69">
        <v>18.600000000000001</v>
      </c>
      <c r="H69">
        <v>18.600000000000001</v>
      </c>
      <c r="I69">
        <v>29603</v>
      </c>
      <c r="J69" t="s">
        <v>72</v>
      </c>
      <c r="K69">
        <v>5406</v>
      </c>
      <c r="L69" s="1">
        <v>6.3E-3</v>
      </c>
      <c r="M69">
        <v>7248</v>
      </c>
      <c r="N69" s="1">
        <v>6.4000000000000003E-3</v>
      </c>
      <c r="O69">
        <v>134812.79999999999</v>
      </c>
      <c r="P69" s="1">
        <v>2.3999999999999998E-3</v>
      </c>
      <c r="Q69">
        <v>18126</v>
      </c>
      <c r="R69" t="s">
        <v>154</v>
      </c>
      <c r="S69" t="s">
        <v>154</v>
      </c>
      <c r="T69">
        <v>0</v>
      </c>
      <c r="U69">
        <v>2744</v>
      </c>
      <c r="Z69" t="s">
        <v>175</v>
      </c>
      <c r="AA69" t="s">
        <v>888</v>
      </c>
      <c r="AB69" s="2">
        <v>41933.437314814815</v>
      </c>
      <c r="AC69" t="s">
        <v>192</v>
      </c>
      <c r="AD69" t="s">
        <v>158</v>
      </c>
      <c r="AE69">
        <v>36789</v>
      </c>
      <c r="AF69" t="s">
        <v>159</v>
      </c>
      <c r="AG69" s="1">
        <v>1</v>
      </c>
      <c r="AH69" t="s">
        <v>79</v>
      </c>
      <c r="AI69" t="s">
        <v>80</v>
      </c>
      <c r="AK69" s="3">
        <v>42244</v>
      </c>
      <c r="AL69" s="4">
        <v>0.67365740740740743</v>
      </c>
      <c r="AM69" t="s">
        <v>889</v>
      </c>
      <c r="AN69" t="s">
        <v>111</v>
      </c>
      <c r="AO69">
        <f t="shared" si="1"/>
        <v>16</v>
      </c>
      <c r="AP69" t="s">
        <v>890</v>
      </c>
    </row>
    <row r="70" spans="1:42" x14ac:dyDescent="0.25">
      <c r="A70">
        <v>69</v>
      </c>
      <c r="B70" t="s">
        <v>896</v>
      </c>
      <c r="C70" t="s">
        <v>897</v>
      </c>
      <c r="D70" t="s">
        <v>898</v>
      </c>
      <c r="E70">
        <v>184</v>
      </c>
      <c r="F70" s="1">
        <v>0.1467</v>
      </c>
      <c r="G70">
        <v>27</v>
      </c>
      <c r="H70">
        <v>27</v>
      </c>
      <c r="I70">
        <v>12920</v>
      </c>
      <c r="J70" t="s">
        <v>72</v>
      </c>
      <c r="K70">
        <v>5393</v>
      </c>
      <c r="L70" s="1">
        <v>6.3E-3</v>
      </c>
      <c r="M70">
        <v>6992</v>
      </c>
      <c r="N70" s="1">
        <v>6.1999999999999998E-3</v>
      </c>
      <c r="O70">
        <v>188784</v>
      </c>
      <c r="P70" s="1">
        <v>3.3999999999999998E-3</v>
      </c>
      <c r="Q70">
        <v>13532</v>
      </c>
      <c r="R70">
        <v>12305</v>
      </c>
      <c r="S70" s="1">
        <v>1.0996999999999999</v>
      </c>
      <c r="T70">
        <v>3</v>
      </c>
      <c r="U70">
        <v>1121</v>
      </c>
      <c r="Y70" t="s">
        <v>574</v>
      </c>
      <c r="Z70" t="s">
        <v>175</v>
      </c>
      <c r="AA70" t="s">
        <v>899</v>
      </c>
      <c r="AB70" s="2">
        <v>42078.513541666667</v>
      </c>
      <c r="AC70" t="s">
        <v>407</v>
      </c>
      <c r="AD70" t="s">
        <v>109</v>
      </c>
      <c r="AE70">
        <v>2399</v>
      </c>
      <c r="AF70" t="s">
        <v>78</v>
      </c>
      <c r="AG70" s="1">
        <v>0.92510000000000003</v>
      </c>
      <c r="AH70" t="s">
        <v>79</v>
      </c>
      <c r="AI70" t="s">
        <v>80</v>
      </c>
      <c r="AK70" s="3">
        <v>42239</v>
      </c>
      <c r="AL70" s="4">
        <v>0.90972222222222221</v>
      </c>
      <c r="AM70" s="5">
        <v>0.15293981481481481</v>
      </c>
      <c r="AN70" t="s">
        <v>194</v>
      </c>
      <c r="AO70">
        <f t="shared" si="1"/>
        <v>21</v>
      </c>
      <c r="AP70" t="s">
        <v>900</v>
      </c>
    </row>
    <row r="71" spans="1:42" x14ac:dyDescent="0.25">
      <c r="A71">
        <v>70</v>
      </c>
      <c r="B71" t="s">
        <v>903</v>
      </c>
      <c r="C71" t="s">
        <v>904</v>
      </c>
      <c r="E71">
        <v>158</v>
      </c>
      <c r="F71" s="1">
        <v>0.2273</v>
      </c>
      <c r="G71">
        <v>35.909999999999997</v>
      </c>
      <c r="H71">
        <v>35.909999999999997</v>
      </c>
      <c r="I71">
        <v>301581</v>
      </c>
      <c r="J71" t="s">
        <v>72</v>
      </c>
      <c r="K71">
        <v>5353</v>
      </c>
      <c r="L71" s="1">
        <v>6.3E-3</v>
      </c>
      <c r="M71">
        <v>8388</v>
      </c>
      <c r="N71" s="1">
        <v>7.4000000000000003E-3</v>
      </c>
      <c r="O71">
        <v>301213.08</v>
      </c>
      <c r="P71" s="1">
        <v>5.4999999999999997E-3</v>
      </c>
      <c r="Q71">
        <v>21504</v>
      </c>
      <c r="R71">
        <v>13358</v>
      </c>
      <c r="S71" s="1">
        <v>1.6097999999999999</v>
      </c>
      <c r="T71">
        <v>1</v>
      </c>
      <c r="U71">
        <v>1125</v>
      </c>
      <c r="Y71" t="s">
        <v>905</v>
      </c>
      <c r="Z71" t="s">
        <v>175</v>
      </c>
      <c r="AA71" t="s">
        <v>906</v>
      </c>
      <c r="AB71" s="2">
        <v>41229.624085648145</v>
      </c>
      <c r="AC71" t="s">
        <v>76</v>
      </c>
      <c r="AD71" t="s">
        <v>458</v>
      </c>
      <c r="AE71">
        <v>5432</v>
      </c>
      <c r="AF71" t="s">
        <v>78</v>
      </c>
      <c r="AG71" s="1">
        <v>0.9788</v>
      </c>
      <c r="AH71" t="s">
        <v>79</v>
      </c>
      <c r="AI71" t="s">
        <v>80</v>
      </c>
      <c r="AK71" s="3">
        <v>42245</v>
      </c>
      <c r="AL71" s="4">
        <v>0.97222222222222221</v>
      </c>
      <c r="AM71" t="s">
        <v>907</v>
      </c>
      <c r="AN71" t="s">
        <v>161</v>
      </c>
      <c r="AO71">
        <f t="shared" si="1"/>
        <v>23</v>
      </c>
      <c r="AP71" t="s">
        <v>908</v>
      </c>
    </row>
    <row r="72" spans="1:42" x14ac:dyDescent="0.25">
      <c r="A72">
        <v>71</v>
      </c>
      <c r="B72" t="s">
        <v>914</v>
      </c>
      <c r="C72" t="s">
        <v>915</v>
      </c>
      <c r="D72" t="s">
        <v>916</v>
      </c>
      <c r="E72">
        <v>69</v>
      </c>
      <c r="F72" s="1">
        <v>0.24490000000000001</v>
      </c>
      <c r="G72">
        <v>16.899999999999999</v>
      </c>
      <c r="H72">
        <v>16.899999999999999</v>
      </c>
      <c r="I72">
        <v>12015</v>
      </c>
      <c r="J72" t="s">
        <v>72</v>
      </c>
      <c r="K72">
        <v>5347</v>
      </c>
      <c r="L72" s="1">
        <v>6.1999999999999998E-3</v>
      </c>
      <c r="M72">
        <v>6557</v>
      </c>
      <c r="N72" s="1">
        <v>5.7999999999999996E-3</v>
      </c>
      <c r="O72">
        <v>110813.3</v>
      </c>
      <c r="P72" s="1">
        <v>2E-3</v>
      </c>
      <c r="Q72">
        <v>3850</v>
      </c>
      <c r="R72" t="s">
        <v>154</v>
      </c>
      <c r="S72" t="s">
        <v>154</v>
      </c>
      <c r="T72">
        <v>0</v>
      </c>
      <c r="U72">
        <v>3237</v>
      </c>
      <c r="Z72" t="s">
        <v>917</v>
      </c>
      <c r="AA72" t="s">
        <v>918</v>
      </c>
      <c r="AB72" s="2">
        <v>41887.663101851853</v>
      </c>
      <c r="AC72" t="s">
        <v>407</v>
      </c>
      <c r="AD72" t="s">
        <v>77</v>
      </c>
      <c r="AE72">
        <v>748</v>
      </c>
      <c r="AF72" t="s">
        <v>159</v>
      </c>
      <c r="AG72" s="1">
        <v>1</v>
      </c>
      <c r="AH72" t="s">
        <v>79</v>
      </c>
      <c r="AI72" t="s">
        <v>80</v>
      </c>
      <c r="AK72" s="3">
        <v>42239</v>
      </c>
      <c r="AL72" s="4">
        <v>0.96890046296296306</v>
      </c>
      <c r="AM72" s="5">
        <v>0.21211805555555555</v>
      </c>
      <c r="AN72" t="s">
        <v>194</v>
      </c>
      <c r="AO72">
        <f t="shared" si="1"/>
        <v>23</v>
      </c>
      <c r="AP72" t="s">
        <v>919</v>
      </c>
    </row>
    <row r="73" spans="1:42" x14ac:dyDescent="0.25">
      <c r="A73">
        <v>72</v>
      </c>
      <c r="B73" t="s">
        <v>926</v>
      </c>
      <c r="C73" t="s">
        <v>927</v>
      </c>
      <c r="E73">
        <v>368</v>
      </c>
      <c r="F73" s="1">
        <v>0.1235</v>
      </c>
      <c r="G73">
        <v>45.44</v>
      </c>
      <c r="H73">
        <v>45.44</v>
      </c>
      <c r="I73">
        <v>16592</v>
      </c>
      <c r="J73" t="s">
        <v>72</v>
      </c>
      <c r="K73">
        <v>5307</v>
      </c>
      <c r="L73" s="1">
        <v>6.1999999999999998E-3</v>
      </c>
      <c r="M73">
        <v>7632</v>
      </c>
      <c r="N73" s="1">
        <v>6.7000000000000002E-3</v>
      </c>
      <c r="O73">
        <v>346798.08000000002</v>
      </c>
      <c r="P73" s="1">
        <v>6.3E-3</v>
      </c>
      <c r="Q73">
        <v>17666</v>
      </c>
      <c r="R73">
        <v>22597</v>
      </c>
      <c r="S73" s="1">
        <v>0.78180000000000005</v>
      </c>
      <c r="T73">
        <v>1</v>
      </c>
      <c r="U73">
        <v>2554</v>
      </c>
      <c r="Y73" t="s">
        <v>105</v>
      </c>
      <c r="Z73" t="s">
        <v>74</v>
      </c>
      <c r="AA73" t="s">
        <v>928</v>
      </c>
      <c r="AB73" s="2">
        <v>41930.950370370374</v>
      </c>
      <c r="AC73" t="s">
        <v>407</v>
      </c>
      <c r="AD73" t="s">
        <v>358</v>
      </c>
      <c r="AE73">
        <v>2013</v>
      </c>
      <c r="AF73" t="s">
        <v>78</v>
      </c>
      <c r="AG73" s="1">
        <v>0.98650000000000004</v>
      </c>
      <c r="AH73" t="s">
        <v>79</v>
      </c>
      <c r="AI73" t="s">
        <v>80</v>
      </c>
      <c r="AK73" s="3">
        <v>42241</v>
      </c>
      <c r="AL73" s="4">
        <v>0.875</v>
      </c>
      <c r="AM73" t="s">
        <v>929</v>
      </c>
      <c r="AN73" t="s">
        <v>251</v>
      </c>
      <c r="AO73">
        <f t="shared" si="1"/>
        <v>21</v>
      </c>
      <c r="AP73" t="s">
        <v>930</v>
      </c>
    </row>
    <row r="74" spans="1:42" x14ac:dyDescent="0.25">
      <c r="A74">
        <v>73</v>
      </c>
      <c r="B74" t="s">
        <v>935</v>
      </c>
      <c r="C74" t="s">
        <v>936</v>
      </c>
      <c r="E74">
        <v>234.9</v>
      </c>
      <c r="F74" s="1">
        <v>0.126</v>
      </c>
      <c r="G74">
        <v>29.6</v>
      </c>
      <c r="H74">
        <v>29.6</v>
      </c>
      <c r="I74">
        <v>36674</v>
      </c>
      <c r="J74" t="s">
        <v>72</v>
      </c>
      <c r="K74">
        <v>5268</v>
      </c>
      <c r="L74" s="1">
        <v>6.1999999999999998E-3</v>
      </c>
      <c r="M74">
        <v>13706</v>
      </c>
      <c r="N74" s="1">
        <v>1.21E-2</v>
      </c>
      <c r="O74">
        <v>405697.6</v>
      </c>
      <c r="P74" s="1">
        <v>7.3000000000000001E-3</v>
      </c>
      <c r="Q74">
        <v>46006</v>
      </c>
      <c r="R74">
        <v>12477</v>
      </c>
      <c r="S74" s="1">
        <v>3.6873</v>
      </c>
      <c r="T74">
        <v>0</v>
      </c>
      <c r="U74">
        <v>282</v>
      </c>
      <c r="Y74" t="s">
        <v>105</v>
      </c>
      <c r="Z74" t="s">
        <v>175</v>
      </c>
      <c r="AA74" t="s">
        <v>937</v>
      </c>
      <c r="AB74" s="2">
        <v>41978.717141203706</v>
      </c>
      <c r="AC74" t="s">
        <v>76</v>
      </c>
      <c r="AD74" t="s">
        <v>307</v>
      </c>
      <c r="AE74">
        <v>4851</v>
      </c>
      <c r="AF74" t="s">
        <v>78</v>
      </c>
      <c r="AG74" s="1">
        <v>0.98560000000000003</v>
      </c>
      <c r="AH74" t="s">
        <v>79</v>
      </c>
      <c r="AI74" t="s">
        <v>80</v>
      </c>
      <c r="AK74" s="3">
        <v>42245</v>
      </c>
      <c r="AL74" s="4">
        <v>0.64583333333333337</v>
      </c>
      <c r="AM74" t="s">
        <v>938</v>
      </c>
      <c r="AN74" t="s">
        <v>161</v>
      </c>
      <c r="AO74">
        <f t="shared" si="1"/>
        <v>15</v>
      </c>
      <c r="AP74" t="s">
        <v>939</v>
      </c>
    </row>
    <row r="75" spans="1:42" x14ac:dyDescent="0.25">
      <c r="A75">
        <v>74</v>
      </c>
      <c r="B75" t="s">
        <v>944</v>
      </c>
      <c r="C75" t="s">
        <v>945</v>
      </c>
      <c r="E75">
        <v>59.88</v>
      </c>
      <c r="F75" s="1">
        <v>0.39479999999999998</v>
      </c>
      <c r="G75">
        <v>23.64</v>
      </c>
      <c r="H75">
        <v>23.64</v>
      </c>
      <c r="I75">
        <v>39844</v>
      </c>
      <c r="J75" t="s">
        <v>72</v>
      </c>
      <c r="K75">
        <v>5237</v>
      </c>
      <c r="L75" s="1">
        <v>6.1000000000000004E-3</v>
      </c>
      <c r="M75">
        <v>5674</v>
      </c>
      <c r="N75" s="1">
        <v>5.0000000000000001E-3</v>
      </c>
      <c r="O75">
        <v>134133.35999999999</v>
      </c>
      <c r="P75" s="1">
        <v>2.3999999999999998E-3</v>
      </c>
      <c r="Q75">
        <v>18988</v>
      </c>
      <c r="R75">
        <v>52742</v>
      </c>
      <c r="S75" s="1">
        <v>0.36</v>
      </c>
      <c r="T75">
        <v>6</v>
      </c>
      <c r="U75">
        <v>2489</v>
      </c>
      <c r="Y75" t="s">
        <v>466</v>
      </c>
      <c r="Z75" t="s">
        <v>175</v>
      </c>
      <c r="AA75" t="s">
        <v>946</v>
      </c>
      <c r="AB75" s="2">
        <v>41812.687557870369</v>
      </c>
      <c r="AC75" t="s">
        <v>192</v>
      </c>
      <c r="AD75" t="s">
        <v>663</v>
      </c>
      <c r="AE75">
        <v>7102</v>
      </c>
      <c r="AF75" t="s">
        <v>78</v>
      </c>
      <c r="AG75" s="1">
        <v>0.96989999999999998</v>
      </c>
      <c r="AH75" t="s">
        <v>79</v>
      </c>
      <c r="AI75" t="s">
        <v>80</v>
      </c>
      <c r="AK75" s="3">
        <v>42241</v>
      </c>
      <c r="AL75" s="4">
        <v>0.89930555555555547</v>
      </c>
      <c r="AM75" t="s">
        <v>947</v>
      </c>
      <c r="AN75" t="s">
        <v>251</v>
      </c>
      <c r="AO75">
        <f t="shared" si="1"/>
        <v>21</v>
      </c>
      <c r="AP75" t="s">
        <v>948</v>
      </c>
    </row>
    <row r="76" spans="1:42" x14ac:dyDescent="0.25">
      <c r="A76">
        <v>75</v>
      </c>
      <c r="B76" t="s">
        <v>952</v>
      </c>
      <c r="C76" t="s">
        <v>953</v>
      </c>
      <c r="E76">
        <v>69</v>
      </c>
      <c r="F76" s="1">
        <v>0.39129999999999998</v>
      </c>
      <c r="G76">
        <v>27</v>
      </c>
      <c r="H76">
        <v>27</v>
      </c>
      <c r="I76">
        <v>78423</v>
      </c>
      <c r="J76" t="s">
        <v>72</v>
      </c>
      <c r="K76">
        <v>5168</v>
      </c>
      <c r="L76" s="1">
        <v>6.0000000000000001E-3</v>
      </c>
      <c r="M76">
        <v>5809</v>
      </c>
      <c r="N76" s="1">
        <v>5.1000000000000004E-3</v>
      </c>
      <c r="O76">
        <v>156843</v>
      </c>
      <c r="P76" s="1">
        <v>2.8E-3</v>
      </c>
      <c r="Q76">
        <v>8752</v>
      </c>
      <c r="R76">
        <v>23268</v>
      </c>
      <c r="S76" s="1">
        <v>0.37609999999999999</v>
      </c>
      <c r="T76">
        <v>36</v>
      </c>
      <c r="U76">
        <v>1226</v>
      </c>
      <c r="Y76" t="s">
        <v>105</v>
      </c>
      <c r="Z76" t="s">
        <v>74</v>
      </c>
      <c r="AA76" t="s">
        <v>954</v>
      </c>
      <c r="AB76" s="2">
        <v>41509.889513888891</v>
      </c>
      <c r="AC76" t="s">
        <v>76</v>
      </c>
      <c r="AD76" t="s">
        <v>109</v>
      </c>
      <c r="AE76">
        <v>4590</v>
      </c>
      <c r="AF76" t="s">
        <v>78</v>
      </c>
      <c r="AG76" s="1">
        <v>0.9224</v>
      </c>
      <c r="AH76" t="s">
        <v>79</v>
      </c>
      <c r="AI76" t="s">
        <v>80</v>
      </c>
      <c r="AK76" s="3">
        <v>42241</v>
      </c>
      <c r="AL76" s="4">
        <v>0.69892361111111112</v>
      </c>
      <c r="AM76" t="s">
        <v>955</v>
      </c>
      <c r="AN76" t="s">
        <v>251</v>
      </c>
      <c r="AO76">
        <f t="shared" si="1"/>
        <v>16</v>
      </c>
      <c r="AP76" t="s">
        <v>956</v>
      </c>
    </row>
    <row r="77" spans="1:42" x14ac:dyDescent="0.25">
      <c r="A77">
        <v>76</v>
      </c>
      <c r="B77" t="s">
        <v>962</v>
      </c>
      <c r="C77" t="s">
        <v>963</v>
      </c>
      <c r="E77">
        <v>399</v>
      </c>
      <c r="F77" s="1">
        <v>0.1464</v>
      </c>
      <c r="G77">
        <v>58.41</v>
      </c>
      <c r="H77">
        <v>58.41</v>
      </c>
      <c r="I77">
        <v>67124</v>
      </c>
      <c r="J77" t="s">
        <v>72</v>
      </c>
      <c r="K77">
        <v>5156</v>
      </c>
      <c r="L77" s="1">
        <v>6.0000000000000001E-3</v>
      </c>
      <c r="M77">
        <v>10355</v>
      </c>
      <c r="N77" s="1">
        <v>9.1000000000000004E-3</v>
      </c>
      <c r="O77">
        <v>604835.55000000005</v>
      </c>
      <c r="P77" s="1">
        <v>1.09E-2</v>
      </c>
      <c r="Q77">
        <v>21986</v>
      </c>
      <c r="R77">
        <v>18721</v>
      </c>
      <c r="S77" s="1">
        <v>1.1744000000000001</v>
      </c>
      <c r="T77">
        <v>0</v>
      </c>
      <c r="U77">
        <v>1090</v>
      </c>
      <c r="Y77" t="s">
        <v>105</v>
      </c>
      <c r="Z77" t="s">
        <v>964</v>
      </c>
      <c r="AA77" t="s">
        <v>965</v>
      </c>
      <c r="AB77" s="2">
        <v>41377.745706018519</v>
      </c>
      <c r="AC77" t="s">
        <v>76</v>
      </c>
      <c r="AD77" t="s">
        <v>237</v>
      </c>
      <c r="AE77">
        <v>3887</v>
      </c>
      <c r="AF77" t="s">
        <v>78</v>
      </c>
      <c r="AG77" s="1">
        <v>0.9829</v>
      </c>
      <c r="AH77" t="s">
        <v>79</v>
      </c>
      <c r="AI77" t="s">
        <v>80</v>
      </c>
      <c r="AK77" s="3">
        <v>42241</v>
      </c>
      <c r="AL77" s="4">
        <v>0.94259259259259265</v>
      </c>
      <c r="AM77" t="s">
        <v>966</v>
      </c>
      <c r="AN77" t="s">
        <v>251</v>
      </c>
      <c r="AO77">
        <f t="shared" si="1"/>
        <v>22</v>
      </c>
      <c r="AP77" t="s">
        <v>967</v>
      </c>
    </row>
    <row r="78" spans="1:42" x14ac:dyDescent="0.25">
      <c r="A78">
        <v>77</v>
      </c>
      <c r="B78" t="s">
        <v>971</v>
      </c>
      <c r="C78" t="s">
        <v>972</v>
      </c>
      <c r="D78">
        <v>1</v>
      </c>
      <c r="E78">
        <v>128</v>
      </c>
      <c r="F78" s="1">
        <v>0.34449999999999997</v>
      </c>
      <c r="G78">
        <v>44.1</v>
      </c>
      <c r="H78">
        <v>44.1</v>
      </c>
      <c r="I78">
        <v>17097</v>
      </c>
      <c r="J78" t="s">
        <v>72</v>
      </c>
      <c r="K78">
        <v>5113</v>
      </c>
      <c r="L78" s="1">
        <v>6.0000000000000001E-3</v>
      </c>
      <c r="M78">
        <v>5813</v>
      </c>
      <c r="N78" s="1">
        <v>5.1000000000000004E-3</v>
      </c>
      <c r="O78">
        <v>256353.3</v>
      </c>
      <c r="P78" s="1">
        <v>4.5999999999999999E-3</v>
      </c>
      <c r="Q78">
        <v>25624</v>
      </c>
      <c r="R78">
        <v>89523</v>
      </c>
      <c r="S78" s="1">
        <v>0.28620000000000001</v>
      </c>
      <c r="T78">
        <v>8</v>
      </c>
      <c r="U78">
        <v>4018</v>
      </c>
      <c r="Y78" t="s">
        <v>973</v>
      </c>
      <c r="Z78" t="s">
        <v>175</v>
      </c>
      <c r="AA78" t="s">
        <v>974</v>
      </c>
      <c r="AB78" s="2">
        <v>42065.574444444443</v>
      </c>
      <c r="AC78" t="s">
        <v>108</v>
      </c>
      <c r="AD78" t="s">
        <v>77</v>
      </c>
      <c r="AE78">
        <v>8779</v>
      </c>
      <c r="AF78" t="s">
        <v>78</v>
      </c>
      <c r="AG78" s="1">
        <v>0.9899</v>
      </c>
      <c r="AH78" t="s">
        <v>79</v>
      </c>
      <c r="AI78" t="s">
        <v>80</v>
      </c>
      <c r="AK78" s="3">
        <v>42242</v>
      </c>
      <c r="AL78" s="4">
        <v>0.90277777777777779</v>
      </c>
      <c r="AM78" t="s">
        <v>975</v>
      </c>
      <c r="AN78" t="s">
        <v>135</v>
      </c>
      <c r="AO78">
        <f t="shared" si="1"/>
        <v>21</v>
      </c>
      <c r="AP78" t="s">
        <v>976</v>
      </c>
    </row>
    <row r="79" spans="1:42" x14ac:dyDescent="0.25">
      <c r="A79">
        <v>78</v>
      </c>
      <c r="B79" t="s">
        <v>985</v>
      </c>
      <c r="C79" t="s">
        <v>986</v>
      </c>
      <c r="D79" t="s">
        <v>987</v>
      </c>
      <c r="E79">
        <v>108</v>
      </c>
      <c r="F79" s="1">
        <v>0.2361</v>
      </c>
      <c r="G79">
        <v>25.5</v>
      </c>
      <c r="H79">
        <v>25.5</v>
      </c>
      <c r="I79">
        <v>52142</v>
      </c>
      <c r="J79" t="s">
        <v>72</v>
      </c>
      <c r="K79">
        <v>5081</v>
      </c>
      <c r="L79" s="1">
        <v>5.8999999999999999E-3</v>
      </c>
      <c r="M79">
        <v>6232</v>
      </c>
      <c r="N79" s="1">
        <v>5.4999999999999997E-3</v>
      </c>
      <c r="O79">
        <v>158916</v>
      </c>
      <c r="P79" s="1">
        <v>2.8999999999999998E-3</v>
      </c>
      <c r="Q79">
        <v>12878</v>
      </c>
      <c r="R79" t="s">
        <v>154</v>
      </c>
      <c r="S79" t="s">
        <v>154</v>
      </c>
      <c r="T79">
        <v>1</v>
      </c>
      <c r="U79">
        <v>3836</v>
      </c>
      <c r="Z79" t="s">
        <v>74</v>
      </c>
      <c r="AA79" t="s">
        <v>988</v>
      </c>
      <c r="AB79" s="2">
        <v>41768.708518518521</v>
      </c>
      <c r="AC79" t="s">
        <v>192</v>
      </c>
      <c r="AD79" t="s">
        <v>989</v>
      </c>
      <c r="AE79">
        <v>38609</v>
      </c>
      <c r="AF79" t="s">
        <v>159</v>
      </c>
      <c r="AG79" s="1">
        <v>1</v>
      </c>
      <c r="AH79" t="s">
        <v>79</v>
      </c>
      <c r="AI79" t="s">
        <v>80</v>
      </c>
      <c r="AK79" s="3">
        <v>42246</v>
      </c>
      <c r="AL79" s="4">
        <v>0.54776620370370377</v>
      </c>
      <c r="AM79" t="s">
        <v>990</v>
      </c>
      <c r="AN79" t="s">
        <v>194</v>
      </c>
      <c r="AO79">
        <f t="shared" si="1"/>
        <v>13</v>
      </c>
      <c r="AP79" t="s">
        <v>991</v>
      </c>
    </row>
    <row r="80" spans="1:42" x14ac:dyDescent="0.25">
      <c r="A80">
        <v>79</v>
      </c>
      <c r="B80" t="s">
        <v>996</v>
      </c>
      <c r="C80" t="s">
        <v>997</v>
      </c>
      <c r="D80" t="s">
        <v>998</v>
      </c>
      <c r="E80">
        <v>68</v>
      </c>
      <c r="F80" s="1">
        <v>0.2737</v>
      </c>
      <c r="G80">
        <v>18.61</v>
      </c>
      <c r="H80">
        <v>18.61</v>
      </c>
      <c r="I80">
        <v>99700</v>
      </c>
      <c r="J80" t="s">
        <v>72</v>
      </c>
      <c r="K80">
        <v>5056</v>
      </c>
      <c r="L80" s="1">
        <v>5.8999999999999999E-3</v>
      </c>
      <c r="M80">
        <v>9514</v>
      </c>
      <c r="N80" s="1">
        <v>8.3999999999999995E-3</v>
      </c>
      <c r="O80">
        <v>177055.54</v>
      </c>
      <c r="P80" s="1">
        <v>3.2000000000000002E-3</v>
      </c>
      <c r="Q80">
        <v>30774</v>
      </c>
      <c r="R80">
        <v>1428767</v>
      </c>
      <c r="S80" s="1">
        <v>2.1499999999999998E-2</v>
      </c>
      <c r="T80">
        <v>552</v>
      </c>
      <c r="U80">
        <v>9531</v>
      </c>
      <c r="Y80" t="s">
        <v>105</v>
      </c>
      <c r="Z80" t="s">
        <v>190</v>
      </c>
      <c r="AA80" t="s">
        <v>999</v>
      </c>
      <c r="AB80" s="2">
        <v>41381.607256944444</v>
      </c>
      <c r="AC80" t="s">
        <v>192</v>
      </c>
      <c r="AD80" t="s">
        <v>358</v>
      </c>
      <c r="AE80">
        <v>4988</v>
      </c>
      <c r="AF80" t="s">
        <v>78</v>
      </c>
      <c r="AG80" s="1">
        <v>0.98380000000000001</v>
      </c>
      <c r="AH80" t="s">
        <v>79</v>
      </c>
      <c r="AI80" t="s">
        <v>80</v>
      </c>
      <c r="AK80" s="3">
        <v>42244</v>
      </c>
      <c r="AL80" s="4">
        <v>0.61163194444444446</v>
      </c>
      <c r="AM80" t="s">
        <v>1000</v>
      </c>
      <c r="AN80" t="s">
        <v>111</v>
      </c>
      <c r="AO80">
        <f t="shared" si="1"/>
        <v>14</v>
      </c>
      <c r="AP80" t="s">
        <v>1001</v>
      </c>
    </row>
    <row r="81" spans="1:42" x14ac:dyDescent="0.25">
      <c r="A81">
        <v>80</v>
      </c>
      <c r="B81" t="s">
        <v>1006</v>
      </c>
      <c r="C81" t="s">
        <v>1007</v>
      </c>
      <c r="E81">
        <v>38</v>
      </c>
      <c r="F81" s="1">
        <v>0.5</v>
      </c>
      <c r="G81">
        <v>19</v>
      </c>
      <c r="H81">
        <v>19</v>
      </c>
      <c r="I81">
        <v>125798</v>
      </c>
      <c r="J81" t="s">
        <v>72</v>
      </c>
      <c r="K81">
        <v>4995</v>
      </c>
      <c r="L81" s="1">
        <v>5.7999999999999996E-3</v>
      </c>
      <c r="M81">
        <v>7123</v>
      </c>
      <c r="N81" s="1">
        <v>6.3E-3</v>
      </c>
      <c r="O81">
        <v>135337</v>
      </c>
      <c r="P81" s="1">
        <v>2.5000000000000001E-3</v>
      </c>
      <c r="Q81">
        <v>72920</v>
      </c>
      <c r="R81">
        <v>215976</v>
      </c>
      <c r="S81" s="1">
        <v>0.33760000000000001</v>
      </c>
      <c r="T81">
        <v>21</v>
      </c>
      <c r="U81">
        <v>13823</v>
      </c>
      <c r="Y81" t="s">
        <v>672</v>
      </c>
      <c r="Z81" t="s">
        <v>1008</v>
      </c>
      <c r="AA81" t="s">
        <v>1009</v>
      </c>
      <c r="AB81" s="2">
        <v>40551.103460648148</v>
      </c>
      <c r="AC81" t="s">
        <v>192</v>
      </c>
      <c r="AD81" t="s">
        <v>193</v>
      </c>
      <c r="AE81">
        <v>16171</v>
      </c>
      <c r="AF81" t="s">
        <v>78</v>
      </c>
      <c r="AG81" s="1">
        <v>0.97529999999999994</v>
      </c>
      <c r="AH81" t="s">
        <v>79</v>
      </c>
      <c r="AI81" t="s">
        <v>80</v>
      </c>
      <c r="AK81" s="3">
        <v>42245</v>
      </c>
      <c r="AL81" s="4">
        <v>0.94070601851851843</v>
      </c>
      <c r="AM81" t="s">
        <v>1010</v>
      </c>
      <c r="AN81" t="s">
        <v>161</v>
      </c>
      <c r="AO81">
        <f t="shared" si="1"/>
        <v>22</v>
      </c>
      <c r="AP81" t="s">
        <v>1011</v>
      </c>
    </row>
    <row r="82" spans="1:42" x14ac:dyDescent="0.25">
      <c r="A82">
        <v>81</v>
      </c>
      <c r="B82" t="s">
        <v>1017</v>
      </c>
      <c r="C82" t="s">
        <v>1018</v>
      </c>
      <c r="E82">
        <v>129</v>
      </c>
      <c r="F82" s="1">
        <v>0.18990000000000001</v>
      </c>
      <c r="G82">
        <v>24.5</v>
      </c>
      <c r="H82">
        <v>24.5</v>
      </c>
      <c r="I82">
        <v>7129</v>
      </c>
      <c r="J82" t="s">
        <v>72</v>
      </c>
      <c r="K82">
        <v>4987</v>
      </c>
      <c r="L82" s="1">
        <v>5.7999999999999996E-3</v>
      </c>
      <c r="M82">
        <v>7002</v>
      </c>
      <c r="N82" s="1">
        <v>6.1999999999999998E-3</v>
      </c>
      <c r="O82">
        <v>171549</v>
      </c>
      <c r="P82" s="1">
        <v>3.0999999999999999E-3</v>
      </c>
      <c r="Q82">
        <v>16788</v>
      </c>
      <c r="R82">
        <v>40202</v>
      </c>
      <c r="S82" s="1">
        <v>0.41760000000000003</v>
      </c>
      <c r="T82">
        <v>3</v>
      </c>
      <c r="U82">
        <v>2285</v>
      </c>
      <c r="Y82" t="s">
        <v>105</v>
      </c>
      <c r="Z82" t="s">
        <v>175</v>
      </c>
      <c r="AA82" t="s">
        <v>1019</v>
      </c>
      <c r="AB82" s="2">
        <v>41376.861990740741</v>
      </c>
      <c r="AC82" t="s">
        <v>76</v>
      </c>
      <c r="AD82" t="s">
        <v>237</v>
      </c>
      <c r="AE82">
        <v>4575</v>
      </c>
      <c r="AF82" t="s">
        <v>78</v>
      </c>
      <c r="AG82" s="1">
        <v>0.98109999999999997</v>
      </c>
      <c r="AH82" t="s">
        <v>79</v>
      </c>
      <c r="AI82" t="s">
        <v>80</v>
      </c>
      <c r="AK82" s="3">
        <v>42243</v>
      </c>
      <c r="AL82" s="4">
        <v>0.89959490740740744</v>
      </c>
      <c r="AM82" t="s">
        <v>1020</v>
      </c>
      <c r="AN82" t="s">
        <v>179</v>
      </c>
      <c r="AO82">
        <f t="shared" si="1"/>
        <v>21</v>
      </c>
      <c r="AP82" t="s">
        <v>1021</v>
      </c>
    </row>
    <row r="83" spans="1:42" x14ac:dyDescent="0.25">
      <c r="A83">
        <v>82</v>
      </c>
      <c r="B83" t="s">
        <v>1026</v>
      </c>
      <c r="C83" t="s">
        <v>1027</v>
      </c>
      <c r="E83">
        <v>118</v>
      </c>
      <c r="F83" s="1">
        <v>0.16750000000000001</v>
      </c>
      <c r="G83">
        <v>19.760000000000002</v>
      </c>
      <c r="H83">
        <v>19.760000000000002</v>
      </c>
      <c r="I83">
        <v>26080</v>
      </c>
      <c r="J83" t="s">
        <v>72</v>
      </c>
      <c r="K83">
        <v>4964</v>
      </c>
      <c r="L83" s="1">
        <v>5.7999999999999996E-3</v>
      </c>
      <c r="M83">
        <v>6224</v>
      </c>
      <c r="N83" s="1">
        <v>5.4999999999999997E-3</v>
      </c>
      <c r="O83">
        <v>122986.24000000001</v>
      </c>
      <c r="P83" s="1">
        <v>2.2000000000000001E-3</v>
      </c>
      <c r="Q83">
        <v>16836</v>
      </c>
      <c r="R83">
        <v>19941</v>
      </c>
      <c r="S83" s="1">
        <v>0.84430000000000005</v>
      </c>
      <c r="T83">
        <v>6</v>
      </c>
      <c r="U83">
        <v>2419</v>
      </c>
      <c r="Y83" t="s">
        <v>1028</v>
      </c>
      <c r="Z83" t="s">
        <v>1029</v>
      </c>
      <c r="AA83" t="s">
        <v>1030</v>
      </c>
      <c r="AB83" s="2">
        <v>42103.900254629632</v>
      </c>
      <c r="AC83" t="s">
        <v>108</v>
      </c>
      <c r="AD83" t="s">
        <v>237</v>
      </c>
      <c r="AE83">
        <v>3950</v>
      </c>
      <c r="AF83" t="s">
        <v>78</v>
      </c>
      <c r="AG83" s="1">
        <v>0.9395</v>
      </c>
      <c r="AH83" t="s">
        <v>79</v>
      </c>
      <c r="AI83" t="s">
        <v>80</v>
      </c>
      <c r="AK83" s="3">
        <v>42240</v>
      </c>
      <c r="AL83" s="4">
        <v>0.94097222222222221</v>
      </c>
      <c r="AM83" t="s">
        <v>1031</v>
      </c>
      <c r="AN83" t="s">
        <v>82</v>
      </c>
      <c r="AO83">
        <f t="shared" si="1"/>
        <v>22</v>
      </c>
      <c r="AP83" t="s">
        <v>1032</v>
      </c>
    </row>
    <row r="84" spans="1:42" x14ac:dyDescent="0.25">
      <c r="A84">
        <v>83</v>
      </c>
      <c r="B84" t="s">
        <v>1035</v>
      </c>
      <c r="C84" t="s">
        <v>1036</v>
      </c>
      <c r="D84">
        <v>8001</v>
      </c>
      <c r="E84">
        <v>58</v>
      </c>
      <c r="F84" s="1">
        <v>0.495</v>
      </c>
      <c r="G84">
        <v>28.71</v>
      </c>
      <c r="H84">
        <v>28.71</v>
      </c>
      <c r="I84">
        <v>8771</v>
      </c>
      <c r="J84" t="s">
        <v>72</v>
      </c>
      <c r="K84">
        <v>4949</v>
      </c>
      <c r="L84" s="1">
        <v>5.7999999999999996E-3</v>
      </c>
      <c r="M84">
        <v>6437</v>
      </c>
      <c r="N84" s="1">
        <v>5.7000000000000002E-3</v>
      </c>
      <c r="O84">
        <v>184806.27</v>
      </c>
      <c r="P84" s="1">
        <v>3.3E-3</v>
      </c>
      <c r="Q84">
        <v>21754</v>
      </c>
      <c r="R84">
        <v>60003</v>
      </c>
      <c r="S84" s="1">
        <v>0.36249999999999999</v>
      </c>
      <c r="T84">
        <v>8</v>
      </c>
      <c r="U84">
        <v>3448</v>
      </c>
      <c r="Y84" t="s">
        <v>1037</v>
      </c>
      <c r="Z84" t="s">
        <v>175</v>
      </c>
      <c r="AA84" t="s">
        <v>1038</v>
      </c>
      <c r="AB84" s="2">
        <v>41328.7265625</v>
      </c>
      <c r="AC84" t="s">
        <v>76</v>
      </c>
      <c r="AD84" t="s">
        <v>358</v>
      </c>
      <c r="AE84">
        <v>9958</v>
      </c>
      <c r="AF84" t="s">
        <v>78</v>
      </c>
      <c r="AG84" s="1">
        <v>0.9556</v>
      </c>
      <c r="AH84" t="s">
        <v>79</v>
      </c>
      <c r="AI84" t="s">
        <v>80</v>
      </c>
      <c r="AK84" s="3">
        <v>42243</v>
      </c>
      <c r="AL84" s="4">
        <v>0.94641203703703702</v>
      </c>
      <c r="AM84" t="s">
        <v>1039</v>
      </c>
      <c r="AN84" t="s">
        <v>179</v>
      </c>
      <c r="AO84">
        <f t="shared" si="1"/>
        <v>22</v>
      </c>
      <c r="AP84" t="s">
        <v>1040</v>
      </c>
    </row>
    <row r="85" spans="1:42" x14ac:dyDescent="0.25">
      <c r="A85">
        <v>84</v>
      </c>
      <c r="B85" t="s">
        <v>1045</v>
      </c>
      <c r="C85" t="s">
        <v>1046</v>
      </c>
      <c r="E85">
        <v>72</v>
      </c>
      <c r="F85" s="1">
        <v>0.5</v>
      </c>
      <c r="G85">
        <v>36</v>
      </c>
      <c r="H85">
        <v>36</v>
      </c>
      <c r="I85">
        <v>66722</v>
      </c>
      <c r="J85" t="s">
        <v>72</v>
      </c>
      <c r="K85">
        <v>4908</v>
      </c>
      <c r="L85" s="1">
        <v>5.7000000000000002E-3</v>
      </c>
      <c r="M85">
        <v>6437</v>
      </c>
      <c r="N85" s="1">
        <v>5.7000000000000002E-3</v>
      </c>
      <c r="O85">
        <v>231732</v>
      </c>
      <c r="P85" s="1">
        <v>4.1999999999999997E-3</v>
      </c>
      <c r="Q85">
        <v>46600</v>
      </c>
      <c r="R85">
        <v>532697</v>
      </c>
      <c r="S85" s="1">
        <v>8.7499999999999994E-2</v>
      </c>
      <c r="T85">
        <v>27</v>
      </c>
      <c r="U85">
        <v>6488</v>
      </c>
      <c r="W85" t="s">
        <v>1047</v>
      </c>
      <c r="Y85" t="s">
        <v>105</v>
      </c>
      <c r="Z85" t="s">
        <v>74</v>
      </c>
      <c r="AA85" t="s">
        <v>1048</v>
      </c>
      <c r="AB85" s="2">
        <v>41717.014618055553</v>
      </c>
      <c r="AC85" t="s">
        <v>224</v>
      </c>
      <c r="AD85" t="s">
        <v>1049</v>
      </c>
      <c r="AE85">
        <v>11208</v>
      </c>
      <c r="AF85" t="s">
        <v>78</v>
      </c>
      <c r="AG85" s="1">
        <v>0.97929999999999995</v>
      </c>
      <c r="AH85" t="s">
        <v>79</v>
      </c>
      <c r="AI85" t="s">
        <v>80</v>
      </c>
      <c r="AK85" s="3">
        <v>42239</v>
      </c>
      <c r="AL85" s="4">
        <v>0.875</v>
      </c>
      <c r="AM85" s="5">
        <v>0.11821759259259258</v>
      </c>
      <c r="AN85" t="s">
        <v>194</v>
      </c>
      <c r="AO85">
        <f t="shared" si="1"/>
        <v>21</v>
      </c>
      <c r="AP85" t="s">
        <v>1050</v>
      </c>
    </row>
    <row r="86" spans="1:42" x14ac:dyDescent="0.25">
      <c r="A86">
        <v>85</v>
      </c>
      <c r="B86" t="s">
        <v>1056</v>
      </c>
      <c r="C86" t="s">
        <v>1057</v>
      </c>
      <c r="D86" t="s">
        <v>1058</v>
      </c>
      <c r="E86">
        <v>128</v>
      </c>
      <c r="F86" s="1">
        <v>0.1547</v>
      </c>
      <c r="G86">
        <v>19.8</v>
      </c>
      <c r="H86">
        <v>19.8</v>
      </c>
      <c r="I86">
        <v>387139</v>
      </c>
      <c r="J86" t="s">
        <v>72</v>
      </c>
      <c r="K86">
        <v>4908</v>
      </c>
      <c r="L86" s="1">
        <v>5.7000000000000002E-3</v>
      </c>
      <c r="M86">
        <v>6891</v>
      </c>
      <c r="N86" s="1">
        <v>6.1000000000000004E-3</v>
      </c>
      <c r="O86">
        <v>136441.79999999999</v>
      </c>
      <c r="P86" s="1">
        <v>2.5000000000000001E-3</v>
      </c>
      <c r="Q86">
        <v>59732</v>
      </c>
      <c r="R86" t="s">
        <v>154</v>
      </c>
      <c r="S86" t="s">
        <v>154</v>
      </c>
      <c r="T86">
        <v>2205</v>
      </c>
      <c r="U86">
        <v>38147</v>
      </c>
      <c r="Z86" t="s">
        <v>155</v>
      </c>
      <c r="AA86" t="s">
        <v>156</v>
      </c>
      <c r="AB86" s="2">
        <v>41723.450532407405</v>
      </c>
      <c r="AC86" t="s">
        <v>157</v>
      </c>
      <c r="AD86" t="s">
        <v>158</v>
      </c>
      <c r="AE86">
        <v>308260</v>
      </c>
      <c r="AF86" t="s">
        <v>159</v>
      </c>
      <c r="AG86" s="1">
        <v>1</v>
      </c>
      <c r="AH86" t="s">
        <v>79</v>
      </c>
      <c r="AI86" t="s">
        <v>80</v>
      </c>
      <c r="AK86" s="3">
        <v>42245</v>
      </c>
      <c r="AL86" s="4">
        <v>0.47240740740740739</v>
      </c>
      <c r="AM86" t="s">
        <v>1059</v>
      </c>
      <c r="AN86" t="s">
        <v>161</v>
      </c>
      <c r="AO86">
        <f t="shared" si="1"/>
        <v>11</v>
      </c>
      <c r="AP86" t="s">
        <v>1060</v>
      </c>
    </row>
    <row r="87" spans="1:42" x14ac:dyDescent="0.25">
      <c r="A87">
        <v>86</v>
      </c>
      <c r="B87" t="s">
        <v>1064</v>
      </c>
      <c r="C87" t="s">
        <v>1065</v>
      </c>
      <c r="E87">
        <v>121</v>
      </c>
      <c r="F87" s="1">
        <v>0.19009999999999999</v>
      </c>
      <c r="G87">
        <v>23</v>
      </c>
      <c r="H87">
        <v>23</v>
      </c>
      <c r="I87">
        <v>33156</v>
      </c>
      <c r="J87" t="s">
        <v>72</v>
      </c>
      <c r="K87">
        <v>4900</v>
      </c>
      <c r="L87" s="1">
        <v>5.7000000000000002E-3</v>
      </c>
      <c r="M87">
        <v>6434</v>
      </c>
      <c r="N87" s="1">
        <v>5.7000000000000002E-3</v>
      </c>
      <c r="O87">
        <v>147982</v>
      </c>
      <c r="P87" s="1">
        <v>2.7000000000000001E-3</v>
      </c>
      <c r="Q87">
        <v>28646</v>
      </c>
      <c r="R87">
        <v>39909</v>
      </c>
      <c r="S87" s="1">
        <v>0.71779999999999999</v>
      </c>
      <c r="T87">
        <v>3</v>
      </c>
      <c r="U87">
        <v>1195</v>
      </c>
      <c r="Y87" t="s">
        <v>466</v>
      </c>
      <c r="Z87" t="s">
        <v>175</v>
      </c>
      <c r="AA87" t="s">
        <v>1066</v>
      </c>
      <c r="AB87" s="2">
        <v>42147.883171296293</v>
      </c>
      <c r="AC87" t="s">
        <v>640</v>
      </c>
      <c r="AD87" t="s">
        <v>458</v>
      </c>
      <c r="AE87">
        <v>1988</v>
      </c>
      <c r="AF87" t="s">
        <v>78</v>
      </c>
      <c r="AG87" s="1">
        <v>0.96719999999999995</v>
      </c>
      <c r="AH87" t="s">
        <v>79</v>
      </c>
      <c r="AI87" t="s">
        <v>80</v>
      </c>
      <c r="AK87" s="3">
        <v>42245</v>
      </c>
      <c r="AL87" s="4">
        <v>0.92672453703703705</v>
      </c>
      <c r="AM87" t="s">
        <v>1067</v>
      </c>
      <c r="AN87" t="s">
        <v>161</v>
      </c>
      <c r="AO87">
        <f t="shared" si="1"/>
        <v>22</v>
      </c>
      <c r="AP87" t="s">
        <v>1068</v>
      </c>
    </row>
    <row r="88" spans="1:42" x14ac:dyDescent="0.25">
      <c r="A88">
        <v>87</v>
      </c>
      <c r="B88" t="s">
        <v>1073</v>
      </c>
      <c r="C88" t="s">
        <v>1074</v>
      </c>
      <c r="D88" t="s">
        <v>1075</v>
      </c>
      <c r="E88">
        <v>369</v>
      </c>
      <c r="F88" s="1">
        <v>0.187</v>
      </c>
      <c r="G88">
        <v>69</v>
      </c>
      <c r="H88">
        <v>69</v>
      </c>
      <c r="I88">
        <v>42052</v>
      </c>
      <c r="J88" t="s">
        <v>72</v>
      </c>
      <c r="K88">
        <v>4878</v>
      </c>
      <c r="L88" s="1">
        <v>5.7000000000000002E-3</v>
      </c>
      <c r="M88">
        <v>7059</v>
      </c>
      <c r="N88" s="1">
        <v>6.1999999999999998E-3</v>
      </c>
      <c r="O88">
        <v>487071</v>
      </c>
      <c r="P88" s="1">
        <v>8.8000000000000005E-3</v>
      </c>
      <c r="Q88">
        <v>37910</v>
      </c>
      <c r="R88">
        <v>44020</v>
      </c>
      <c r="S88" s="1">
        <v>0.86119999999999997</v>
      </c>
      <c r="T88">
        <v>3</v>
      </c>
      <c r="U88">
        <v>751</v>
      </c>
      <c r="Y88" t="s">
        <v>105</v>
      </c>
      <c r="Z88" t="s">
        <v>175</v>
      </c>
      <c r="AA88" t="s">
        <v>1076</v>
      </c>
      <c r="AB88" s="2">
        <v>41414.641342592593</v>
      </c>
      <c r="AC88" t="s">
        <v>108</v>
      </c>
      <c r="AD88" t="s">
        <v>237</v>
      </c>
      <c r="AE88">
        <v>10944</v>
      </c>
      <c r="AF88" t="s">
        <v>78</v>
      </c>
      <c r="AG88" s="1">
        <v>0.99</v>
      </c>
      <c r="AH88" t="s">
        <v>79</v>
      </c>
      <c r="AI88" t="s">
        <v>80</v>
      </c>
      <c r="AK88" s="3">
        <v>42242</v>
      </c>
      <c r="AL88" s="4">
        <v>0.84865740740740747</v>
      </c>
      <c r="AM88" t="s">
        <v>1077</v>
      </c>
      <c r="AN88" t="s">
        <v>135</v>
      </c>
      <c r="AO88">
        <f t="shared" si="1"/>
        <v>20</v>
      </c>
      <c r="AP88" t="s">
        <v>1078</v>
      </c>
    </row>
    <row r="89" spans="1:42" x14ac:dyDescent="0.25">
      <c r="A89">
        <v>88</v>
      </c>
      <c r="B89" t="s">
        <v>1082</v>
      </c>
      <c r="C89" t="s">
        <v>1083</v>
      </c>
      <c r="E89">
        <v>88</v>
      </c>
      <c r="F89" s="1">
        <v>0.46589999999999998</v>
      </c>
      <c r="G89">
        <v>41</v>
      </c>
      <c r="H89">
        <v>41</v>
      </c>
      <c r="I89">
        <v>32340</v>
      </c>
      <c r="J89" t="s">
        <v>72</v>
      </c>
      <c r="K89">
        <v>4872</v>
      </c>
      <c r="L89" s="1">
        <v>5.7000000000000002E-3</v>
      </c>
      <c r="M89">
        <v>6927</v>
      </c>
      <c r="N89" s="1">
        <v>6.1000000000000004E-3</v>
      </c>
      <c r="O89">
        <v>284007</v>
      </c>
      <c r="P89" s="1">
        <v>5.1000000000000004E-3</v>
      </c>
      <c r="Q89">
        <v>13404</v>
      </c>
      <c r="R89">
        <v>88323</v>
      </c>
      <c r="S89" s="1">
        <v>0.15179999999999999</v>
      </c>
      <c r="T89">
        <v>9</v>
      </c>
      <c r="U89">
        <v>753</v>
      </c>
      <c r="Y89" t="s">
        <v>1084</v>
      </c>
      <c r="Z89" t="s">
        <v>175</v>
      </c>
      <c r="AA89" t="s">
        <v>1085</v>
      </c>
      <c r="AB89" s="2">
        <v>41420.883564814816</v>
      </c>
      <c r="AC89" t="s">
        <v>76</v>
      </c>
      <c r="AD89" t="s">
        <v>193</v>
      </c>
      <c r="AE89">
        <v>4809</v>
      </c>
      <c r="AF89" t="s">
        <v>78</v>
      </c>
      <c r="AG89" s="1">
        <v>0.98929999999999996</v>
      </c>
      <c r="AH89" t="s">
        <v>79</v>
      </c>
      <c r="AI89" t="s">
        <v>80</v>
      </c>
      <c r="AK89" s="3">
        <v>42241</v>
      </c>
      <c r="AL89" s="4">
        <v>0.87847222222222221</v>
      </c>
      <c r="AM89" t="s">
        <v>1086</v>
      </c>
      <c r="AN89" t="s">
        <v>251</v>
      </c>
      <c r="AO89">
        <f t="shared" si="1"/>
        <v>21</v>
      </c>
      <c r="AP89" t="s">
        <v>1087</v>
      </c>
    </row>
    <row r="90" spans="1:42" x14ac:dyDescent="0.25">
      <c r="A90">
        <v>89</v>
      </c>
      <c r="B90" t="s">
        <v>1092</v>
      </c>
      <c r="C90" t="s">
        <v>1093</v>
      </c>
      <c r="D90" t="s">
        <v>1094</v>
      </c>
      <c r="E90">
        <v>196</v>
      </c>
      <c r="F90" s="1">
        <v>0.5</v>
      </c>
      <c r="G90">
        <v>98</v>
      </c>
      <c r="H90">
        <v>98</v>
      </c>
      <c r="I90">
        <v>35638</v>
      </c>
      <c r="J90">
        <v>5</v>
      </c>
      <c r="K90">
        <v>4850</v>
      </c>
      <c r="L90" s="1">
        <v>5.7000000000000002E-3</v>
      </c>
      <c r="M90">
        <v>6063</v>
      </c>
      <c r="N90" s="1">
        <v>5.3E-3</v>
      </c>
      <c r="O90">
        <v>594174</v>
      </c>
      <c r="P90" s="1">
        <v>1.0800000000000001E-2</v>
      </c>
      <c r="Q90">
        <v>61312</v>
      </c>
      <c r="R90">
        <v>107428</v>
      </c>
      <c r="S90" s="1">
        <v>0.57069999999999999</v>
      </c>
      <c r="T90">
        <v>112</v>
      </c>
      <c r="U90">
        <v>2437</v>
      </c>
      <c r="W90" t="s">
        <v>1095</v>
      </c>
      <c r="Y90" t="s">
        <v>1096</v>
      </c>
      <c r="Z90" t="s">
        <v>74</v>
      </c>
      <c r="AA90" t="s">
        <v>1097</v>
      </c>
      <c r="AB90" s="2">
        <v>40539.464074074072</v>
      </c>
      <c r="AC90" t="s">
        <v>468</v>
      </c>
      <c r="AD90" t="s">
        <v>383</v>
      </c>
      <c r="AE90">
        <v>5888612</v>
      </c>
      <c r="AF90" t="s">
        <v>78</v>
      </c>
      <c r="AG90" s="1">
        <v>0.99129999999999996</v>
      </c>
      <c r="AH90" t="s">
        <v>79</v>
      </c>
      <c r="AI90" t="s">
        <v>80</v>
      </c>
      <c r="AK90" s="3">
        <v>42240</v>
      </c>
      <c r="AL90" s="4">
        <v>0.9229398148148148</v>
      </c>
      <c r="AM90" t="s">
        <v>1098</v>
      </c>
      <c r="AN90" t="s">
        <v>82</v>
      </c>
      <c r="AO90">
        <f t="shared" si="1"/>
        <v>22</v>
      </c>
      <c r="AP90" t="s">
        <v>1099</v>
      </c>
    </row>
    <row r="91" spans="1:42" x14ac:dyDescent="0.25">
      <c r="A91">
        <v>90</v>
      </c>
      <c r="B91" t="s">
        <v>1105</v>
      </c>
      <c r="C91" t="s">
        <v>1106</v>
      </c>
      <c r="E91">
        <v>110</v>
      </c>
      <c r="F91" s="1">
        <v>0.8</v>
      </c>
      <c r="G91">
        <v>88</v>
      </c>
      <c r="H91">
        <v>88</v>
      </c>
      <c r="I91">
        <v>1609</v>
      </c>
      <c r="J91" t="s">
        <v>72</v>
      </c>
      <c r="K91">
        <v>4772</v>
      </c>
      <c r="L91" s="1">
        <v>5.5999999999999999E-3</v>
      </c>
      <c r="M91">
        <v>4984</v>
      </c>
      <c r="N91" s="1">
        <v>4.4000000000000003E-3</v>
      </c>
      <c r="O91">
        <v>438592</v>
      </c>
      <c r="P91" s="1">
        <v>7.9000000000000008E-3</v>
      </c>
      <c r="Q91">
        <v>62594</v>
      </c>
      <c r="R91">
        <v>78023</v>
      </c>
      <c r="S91" s="1">
        <v>0.80230000000000001</v>
      </c>
      <c r="T91">
        <v>0</v>
      </c>
      <c r="U91">
        <v>1316</v>
      </c>
      <c r="W91" t="s">
        <v>319</v>
      </c>
      <c r="Y91" t="s">
        <v>320</v>
      </c>
      <c r="Z91" t="s">
        <v>74</v>
      </c>
      <c r="AA91" t="s">
        <v>321</v>
      </c>
      <c r="AB91" s="2">
        <v>39643.92465277778</v>
      </c>
      <c r="AC91" t="s">
        <v>322</v>
      </c>
      <c r="AD91" t="s">
        <v>323</v>
      </c>
      <c r="AE91">
        <v>1458842</v>
      </c>
      <c r="AF91" t="s">
        <v>78</v>
      </c>
      <c r="AG91" s="1">
        <v>0.98819999999999997</v>
      </c>
      <c r="AH91" t="s">
        <v>79</v>
      </c>
      <c r="AI91" t="s">
        <v>80</v>
      </c>
      <c r="AK91" s="3">
        <v>42239</v>
      </c>
      <c r="AL91" s="4">
        <v>0.90789351851851852</v>
      </c>
      <c r="AM91" s="5">
        <v>0.15111111111111111</v>
      </c>
      <c r="AN91" t="s">
        <v>194</v>
      </c>
      <c r="AO91">
        <f t="shared" si="1"/>
        <v>21</v>
      </c>
      <c r="AP91" t="s">
        <v>1107</v>
      </c>
    </row>
    <row r="92" spans="1:42" x14ac:dyDescent="0.25">
      <c r="A92">
        <v>91</v>
      </c>
      <c r="B92" t="s">
        <v>1112</v>
      </c>
      <c r="C92" t="s">
        <v>1113</v>
      </c>
      <c r="D92">
        <v>335</v>
      </c>
      <c r="E92">
        <v>388</v>
      </c>
      <c r="F92" s="1">
        <v>0.33250000000000002</v>
      </c>
      <c r="G92">
        <v>129</v>
      </c>
      <c r="H92">
        <v>129</v>
      </c>
      <c r="I92">
        <v>40139</v>
      </c>
      <c r="J92" t="s">
        <v>72</v>
      </c>
      <c r="K92">
        <v>4757</v>
      </c>
      <c r="L92" s="1">
        <v>5.5999999999999999E-3</v>
      </c>
      <c r="M92">
        <v>5004</v>
      </c>
      <c r="N92" s="1">
        <v>4.4000000000000003E-3</v>
      </c>
      <c r="O92">
        <v>645516</v>
      </c>
      <c r="P92" s="1">
        <v>1.17E-2</v>
      </c>
      <c r="Q92">
        <v>6758</v>
      </c>
      <c r="R92">
        <v>14854</v>
      </c>
      <c r="S92" s="1">
        <v>0.45500000000000002</v>
      </c>
      <c r="T92">
        <v>0</v>
      </c>
      <c r="U92">
        <v>1909</v>
      </c>
      <c r="Y92" t="s">
        <v>189</v>
      </c>
      <c r="Z92" t="s">
        <v>964</v>
      </c>
      <c r="AA92" t="s">
        <v>1114</v>
      </c>
      <c r="AB92" s="2">
        <v>41208.837835648148</v>
      </c>
      <c r="AC92" t="s">
        <v>224</v>
      </c>
      <c r="AD92" t="s">
        <v>193</v>
      </c>
      <c r="AE92">
        <v>38588</v>
      </c>
      <c r="AF92" t="s">
        <v>78</v>
      </c>
      <c r="AG92" s="1">
        <v>0.99299999999999999</v>
      </c>
      <c r="AH92" t="s">
        <v>79</v>
      </c>
      <c r="AI92" t="s">
        <v>80</v>
      </c>
      <c r="AK92" s="3">
        <v>42241</v>
      </c>
      <c r="AL92" s="4">
        <v>0.42684027777777778</v>
      </c>
      <c r="AM92" t="s">
        <v>1115</v>
      </c>
      <c r="AN92" t="s">
        <v>251</v>
      </c>
      <c r="AO92">
        <f t="shared" si="1"/>
        <v>10</v>
      </c>
      <c r="AP92" t="s">
        <v>1116</v>
      </c>
    </row>
    <row r="93" spans="1:42" x14ac:dyDescent="0.25">
      <c r="A93">
        <v>92</v>
      </c>
      <c r="B93" t="s">
        <v>1122</v>
      </c>
      <c r="C93" t="s">
        <v>1123</v>
      </c>
      <c r="E93">
        <v>163</v>
      </c>
      <c r="F93" s="1">
        <v>0.31900000000000001</v>
      </c>
      <c r="G93">
        <v>52</v>
      </c>
      <c r="H93">
        <v>52</v>
      </c>
      <c r="I93">
        <v>9678</v>
      </c>
      <c r="J93" t="s">
        <v>72</v>
      </c>
      <c r="K93">
        <v>4733</v>
      </c>
      <c r="L93" s="1">
        <v>5.4999999999999997E-3</v>
      </c>
      <c r="M93">
        <v>5855</v>
      </c>
      <c r="N93" s="1">
        <v>5.1999999999999998E-3</v>
      </c>
      <c r="O93">
        <v>304460</v>
      </c>
      <c r="P93" s="1">
        <v>5.4999999999999997E-3</v>
      </c>
      <c r="Q93">
        <v>22470</v>
      </c>
      <c r="R93">
        <v>55797</v>
      </c>
      <c r="S93" s="1">
        <v>0.4027</v>
      </c>
      <c r="T93">
        <v>6</v>
      </c>
      <c r="U93">
        <v>3080</v>
      </c>
      <c r="Y93" t="s">
        <v>305</v>
      </c>
      <c r="Z93" t="s">
        <v>175</v>
      </c>
      <c r="AA93" t="s">
        <v>1124</v>
      </c>
      <c r="AB93" s="2">
        <v>41940.656493055554</v>
      </c>
      <c r="AC93" t="s">
        <v>108</v>
      </c>
      <c r="AD93" t="s">
        <v>77</v>
      </c>
      <c r="AE93">
        <v>3258</v>
      </c>
      <c r="AF93" t="s">
        <v>78</v>
      </c>
      <c r="AG93" s="1">
        <v>0.98140000000000005</v>
      </c>
      <c r="AH93" t="s">
        <v>79</v>
      </c>
      <c r="AI93" t="s">
        <v>80</v>
      </c>
      <c r="AK93" s="3">
        <v>42244</v>
      </c>
      <c r="AL93" s="4">
        <v>0.83761574074074074</v>
      </c>
      <c r="AM93" t="s">
        <v>1125</v>
      </c>
      <c r="AN93" t="s">
        <v>111</v>
      </c>
      <c r="AO93">
        <f t="shared" si="1"/>
        <v>20</v>
      </c>
      <c r="AP93" t="s">
        <v>1126</v>
      </c>
    </row>
    <row r="94" spans="1:42" x14ac:dyDescent="0.25">
      <c r="A94">
        <v>93</v>
      </c>
      <c r="B94" t="s">
        <v>1131</v>
      </c>
      <c r="C94" t="s">
        <v>188</v>
      </c>
      <c r="D94">
        <v>1510</v>
      </c>
      <c r="E94">
        <v>99</v>
      </c>
      <c r="F94" s="1">
        <v>0.159</v>
      </c>
      <c r="G94">
        <v>15.74</v>
      </c>
      <c r="H94">
        <v>15.74</v>
      </c>
      <c r="I94">
        <v>61662</v>
      </c>
      <c r="J94" t="s">
        <v>72</v>
      </c>
      <c r="K94">
        <v>4723</v>
      </c>
      <c r="L94" s="1">
        <v>5.4999999999999997E-3</v>
      </c>
      <c r="M94">
        <v>11465</v>
      </c>
      <c r="N94" s="1">
        <v>1.01E-2</v>
      </c>
      <c r="O94">
        <v>180459.1</v>
      </c>
      <c r="P94" s="1">
        <v>3.3E-3</v>
      </c>
      <c r="Q94">
        <v>11028</v>
      </c>
      <c r="R94">
        <v>173751</v>
      </c>
      <c r="S94" s="1">
        <v>6.3500000000000001E-2</v>
      </c>
      <c r="T94">
        <v>139</v>
      </c>
      <c r="U94">
        <v>15034</v>
      </c>
      <c r="Y94" t="s">
        <v>189</v>
      </c>
      <c r="Z94" t="s">
        <v>190</v>
      </c>
      <c r="AA94" t="s">
        <v>1132</v>
      </c>
      <c r="AB94" s="2">
        <v>40447.78020833333</v>
      </c>
      <c r="AC94" t="s">
        <v>236</v>
      </c>
      <c r="AD94" t="s">
        <v>193</v>
      </c>
      <c r="AE94">
        <v>31510</v>
      </c>
      <c r="AF94" t="s">
        <v>78</v>
      </c>
      <c r="AG94" s="1">
        <v>0.9849</v>
      </c>
      <c r="AH94" t="s">
        <v>79</v>
      </c>
      <c r="AI94" t="s">
        <v>80</v>
      </c>
      <c r="AK94" s="3">
        <v>42243</v>
      </c>
      <c r="AL94" s="4">
        <v>0.90984953703703697</v>
      </c>
      <c r="AM94" t="s">
        <v>1133</v>
      </c>
      <c r="AN94" t="s">
        <v>179</v>
      </c>
      <c r="AO94">
        <f t="shared" si="1"/>
        <v>21</v>
      </c>
      <c r="AP94" t="s">
        <v>1134</v>
      </c>
    </row>
    <row r="95" spans="1:42" x14ac:dyDescent="0.25">
      <c r="A95">
        <v>94</v>
      </c>
      <c r="B95" t="s">
        <v>1140</v>
      </c>
      <c r="C95" t="s">
        <v>1141</v>
      </c>
      <c r="E95">
        <v>91</v>
      </c>
      <c r="F95" s="1">
        <v>0.17580000000000001</v>
      </c>
      <c r="G95">
        <v>16</v>
      </c>
      <c r="H95">
        <v>16</v>
      </c>
      <c r="I95">
        <v>1087556</v>
      </c>
      <c r="J95" t="s">
        <v>72</v>
      </c>
      <c r="K95">
        <v>4707</v>
      </c>
      <c r="L95" s="1">
        <v>5.4999999999999997E-3</v>
      </c>
      <c r="M95">
        <v>5761</v>
      </c>
      <c r="N95" s="1">
        <v>5.1000000000000004E-3</v>
      </c>
      <c r="O95">
        <v>92176</v>
      </c>
      <c r="P95" s="1">
        <v>1.6999999999999999E-3</v>
      </c>
      <c r="Q95">
        <v>56436</v>
      </c>
      <c r="R95">
        <v>90233</v>
      </c>
      <c r="S95" s="1">
        <v>0.62539999999999996</v>
      </c>
      <c r="T95">
        <v>19</v>
      </c>
      <c r="U95">
        <v>13395</v>
      </c>
      <c r="Y95" t="s">
        <v>105</v>
      </c>
      <c r="Z95" t="s">
        <v>175</v>
      </c>
      <c r="AA95" t="s">
        <v>223</v>
      </c>
      <c r="AB95" s="2">
        <v>41571.556886574072</v>
      </c>
      <c r="AC95" t="s">
        <v>224</v>
      </c>
      <c r="AD95" t="s">
        <v>193</v>
      </c>
      <c r="AE95">
        <v>10680</v>
      </c>
      <c r="AF95" t="s">
        <v>78</v>
      </c>
      <c r="AG95" s="1">
        <v>0.97489999999999999</v>
      </c>
      <c r="AH95" t="s">
        <v>79</v>
      </c>
      <c r="AI95" t="s">
        <v>80</v>
      </c>
      <c r="AK95" s="3">
        <v>42246</v>
      </c>
      <c r="AL95" s="4">
        <v>0.67129629629629628</v>
      </c>
      <c r="AM95" t="s">
        <v>1142</v>
      </c>
      <c r="AN95" t="s">
        <v>194</v>
      </c>
      <c r="AO95">
        <f t="shared" si="1"/>
        <v>16</v>
      </c>
      <c r="AP95" t="s">
        <v>1143</v>
      </c>
    </row>
    <row r="96" spans="1:42" x14ac:dyDescent="0.25">
      <c r="A96">
        <v>95</v>
      </c>
      <c r="B96" t="s">
        <v>1148</v>
      </c>
      <c r="C96" t="s">
        <v>1149</v>
      </c>
      <c r="E96">
        <v>118</v>
      </c>
      <c r="F96" s="1">
        <v>0.32200000000000001</v>
      </c>
      <c r="G96">
        <v>38</v>
      </c>
      <c r="H96">
        <v>38</v>
      </c>
      <c r="I96">
        <v>3823</v>
      </c>
      <c r="J96" t="s">
        <v>72</v>
      </c>
      <c r="K96">
        <v>4706</v>
      </c>
      <c r="L96" s="1">
        <v>5.4999999999999997E-3</v>
      </c>
      <c r="M96">
        <v>5520</v>
      </c>
      <c r="N96" s="1">
        <v>4.8999999999999998E-3</v>
      </c>
      <c r="O96">
        <v>209760</v>
      </c>
      <c r="P96" s="1">
        <v>3.8E-3</v>
      </c>
      <c r="Q96">
        <v>24248</v>
      </c>
      <c r="R96">
        <v>120085</v>
      </c>
      <c r="S96" s="1">
        <v>0.2019</v>
      </c>
      <c r="T96">
        <v>21</v>
      </c>
      <c r="U96">
        <v>1844</v>
      </c>
      <c r="Y96" t="s">
        <v>131</v>
      </c>
      <c r="Z96" t="s">
        <v>175</v>
      </c>
      <c r="AA96" t="s">
        <v>235</v>
      </c>
      <c r="AB96" s="2">
        <v>41112.482210648152</v>
      </c>
      <c r="AC96" t="s">
        <v>236</v>
      </c>
      <c r="AD96" t="s">
        <v>237</v>
      </c>
      <c r="AE96">
        <v>139674</v>
      </c>
      <c r="AF96" t="s">
        <v>78</v>
      </c>
      <c r="AG96" s="1">
        <v>0.9849</v>
      </c>
      <c r="AH96" t="s">
        <v>79</v>
      </c>
      <c r="AI96" t="s">
        <v>80</v>
      </c>
      <c r="AK96" s="3">
        <v>42245</v>
      </c>
      <c r="AL96" s="4">
        <v>0.68917824074074074</v>
      </c>
      <c r="AM96" t="s">
        <v>1150</v>
      </c>
      <c r="AN96" t="s">
        <v>161</v>
      </c>
      <c r="AO96">
        <f t="shared" si="1"/>
        <v>16</v>
      </c>
      <c r="AP96" t="s">
        <v>1151</v>
      </c>
    </row>
    <row r="97" spans="1:42" x14ac:dyDescent="0.25">
      <c r="A97">
        <v>96</v>
      </c>
      <c r="B97" t="s">
        <v>1156</v>
      </c>
      <c r="C97" t="s">
        <v>1157</v>
      </c>
      <c r="D97" t="s">
        <v>1158</v>
      </c>
      <c r="E97">
        <v>138</v>
      </c>
      <c r="F97" s="1">
        <v>0.5</v>
      </c>
      <c r="G97">
        <v>69</v>
      </c>
      <c r="H97">
        <v>69</v>
      </c>
      <c r="I97">
        <v>26139</v>
      </c>
      <c r="J97">
        <v>5</v>
      </c>
      <c r="K97">
        <v>4680</v>
      </c>
      <c r="L97" s="1">
        <v>5.4999999999999997E-3</v>
      </c>
      <c r="M97">
        <v>12524</v>
      </c>
      <c r="N97" s="1">
        <v>1.0999999999999999E-2</v>
      </c>
      <c r="O97">
        <v>864156</v>
      </c>
      <c r="P97" s="1">
        <v>1.5599999999999999E-2</v>
      </c>
      <c r="Q97">
        <v>105020</v>
      </c>
      <c r="R97">
        <v>145604</v>
      </c>
      <c r="S97" s="1">
        <v>0.72130000000000005</v>
      </c>
      <c r="T97">
        <v>68</v>
      </c>
      <c r="U97">
        <v>143</v>
      </c>
      <c r="W97" t="s">
        <v>1095</v>
      </c>
      <c r="Y97" t="s">
        <v>1096</v>
      </c>
      <c r="Z97" t="s">
        <v>74</v>
      </c>
      <c r="AA97" t="s">
        <v>1097</v>
      </c>
      <c r="AB97" s="2">
        <v>40539.464074074072</v>
      </c>
      <c r="AC97" t="s">
        <v>468</v>
      </c>
      <c r="AD97" t="s">
        <v>383</v>
      </c>
      <c r="AE97">
        <v>5888612</v>
      </c>
      <c r="AF97" t="s">
        <v>78</v>
      </c>
      <c r="AG97" s="1">
        <v>0.99129999999999996</v>
      </c>
      <c r="AH97" t="s">
        <v>79</v>
      </c>
      <c r="AI97" t="s">
        <v>80</v>
      </c>
      <c r="AK97" s="3">
        <v>42242</v>
      </c>
      <c r="AL97" s="4">
        <v>0.45351851851851849</v>
      </c>
      <c r="AM97" t="s">
        <v>1159</v>
      </c>
      <c r="AN97" t="s">
        <v>135</v>
      </c>
      <c r="AO97">
        <f t="shared" si="1"/>
        <v>10</v>
      </c>
      <c r="AP97" t="s">
        <v>1160</v>
      </c>
    </row>
    <row r="98" spans="1:42" x14ac:dyDescent="0.25">
      <c r="A98">
        <v>97</v>
      </c>
      <c r="B98" t="s">
        <v>1163</v>
      </c>
      <c r="C98" t="s">
        <v>1164</v>
      </c>
      <c r="E98">
        <v>488</v>
      </c>
      <c r="F98" s="1">
        <v>0.13189999999999999</v>
      </c>
      <c r="G98">
        <v>64.349999999999994</v>
      </c>
      <c r="H98">
        <v>64.349999999999994</v>
      </c>
      <c r="I98">
        <v>8647</v>
      </c>
      <c r="J98" t="s">
        <v>72</v>
      </c>
      <c r="K98">
        <v>4639</v>
      </c>
      <c r="L98" s="1">
        <v>5.4000000000000003E-3</v>
      </c>
      <c r="M98">
        <v>6659</v>
      </c>
      <c r="N98" s="1">
        <v>5.8999999999999999E-3</v>
      </c>
      <c r="O98">
        <v>428506.65</v>
      </c>
      <c r="P98" s="1">
        <v>7.7999999999999996E-3</v>
      </c>
      <c r="Q98">
        <v>7576</v>
      </c>
      <c r="R98">
        <v>57286</v>
      </c>
      <c r="S98" s="1">
        <v>0.13220000000000001</v>
      </c>
      <c r="T98">
        <v>6</v>
      </c>
      <c r="U98">
        <v>552</v>
      </c>
      <c r="Y98" t="s">
        <v>105</v>
      </c>
      <c r="Z98" t="s">
        <v>175</v>
      </c>
      <c r="AA98" t="s">
        <v>1165</v>
      </c>
      <c r="AB98" s="2">
        <v>41869.395185185182</v>
      </c>
      <c r="AC98" t="s">
        <v>407</v>
      </c>
      <c r="AD98" t="s">
        <v>237</v>
      </c>
      <c r="AE98">
        <v>2025</v>
      </c>
      <c r="AF98" t="s">
        <v>78</v>
      </c>
      <c r="AG98" s="1">
        <v>0.98280000000000001</v>
      </c>
      <c r="AH98" t="s">
        <v>79</v>
      </c>
      <c r="AI98" t="s">
        <v>80</v>
      </c>
      <c r="AK98" s="3">
        <v>42242</v>
      </c>
      <c r="AL98" s="4">
        <v>0.75223379629629628</v>
      </c>
      <c r="AM98" t="s">
        <v>1166</v>
      </c>
      <c r="AN98" t="s">
        <v>135</v>
      </c>
      <c r="AO98">
        <f t="shared" si="1"/>
        <v>18</v>
      </c>
      <c r="AP98" t="s">
        <v>1167</v>
      </c>
    </row>
    <row r="99" spans="1:42" x14ac:dyDescent="0.25">
      <c r="A99">
        <v>98</v>
      </c>
      <c r="B99" t="s">
        <v>1171</v>
      </c>
      <c r="C99" t="s">
        <v>1172</v>
      </c>
      <c r="D99" t="s">
        <v>1173</v>
      </c>
      <c r="E99">
        <v>368</v>
      </c>
      <c r="F99" s="1">
        <v>0.44280000000000003</v>
      </c>
      <c r="G99">
        <v>162.96</v>
      </c>
      <c r="H99">
        <v>162.96</v>
      </c>
      <c r="I99">
        <v>11688</v>
      </c>
      <c r="J99" t="s">
        <v>72</v>
      </c>
      <c r="K99">
        <v>4615</v>
      </c>
      <c r="L99" s="1">
        <v>5.4000000000000003E-3</v>
      </c>
      <c r="M99">
        <v>4840</v>
      </c>
      <c r="N99" s="1">
        <v>4.3E-3</v>
      </c>
      <c r="O99">
        <v>788726.4</v>
      </c>
      <c r="P99" s="1">
        <v>1.43E-2</v>
      </c>
      <c r="Q99">
        <v>73412</v>
      </c>
      <c r="R99">
        <v>339045</v>
      </c>
      <c r="S99" s="1">
        <v>0.2165</v>
      </c>
      <c r="T99">
        <v>5</v>
      </c>
      <c r="U99">
        <v>1538</v>
      </c>
      <c r="Y99" t="s">
        <v>870</v>
      </c>
      <c r="Z99" t="s">
        <v>74</v>
      </c>
      <c r="AA99" t="s">
        <v>1174</v>
      </c>
      <c r="AB99" s="2">
        <v>42186.735914351855</v>
      </c>
      <c r="AC99" t="s">
        <v>640</v>
      </c>
      <c r="AD99" t="s">
        <v>307</v>
      </c>
      <c r="AE99">
        <v>7838</v>
      </c>
      <c r="AF99" t="s">
        <v>78</v>
      </c>
      <c r="AG99" s="1">
        <v>0.97670000000000001</v>
      </c>
      <c r="AH99" t="s">
        <v>79</v>
      </c>
      <c r="AI99" t="s">
        <v>80</v>
      </c>
      <c r="AK99" s="3">
        <v>42243</v>
      </c>
      <c r="AL99" s="4">
        <v>0.93871527777777775</v>
      </c>
      <c r="AM99" t="s">
        <v>1175</v>
      </c>
      <c r="AN99" t="s">
        <v>179</v>
      </c>
      <c r="AO99">
        <f t="shared" si="1"/>
        <v>22</v>
      </c>
      <c r="AP99" t="s">
        <v>1176</v>
      </c>
    </row>
    <row r="100" spans="1:42" x14ac:dyDescent="0.25">
      <c r="A100">
        <v>99</v>
      </c>
      <c r="B100" t="s">
        <v>1181</v>
      </c>
      <c r="C100" t="s">
        <v>1182</v>
      </c>
      <c r="E100">
        <v>99.6</v>
      </c>
      <c r="F100" s="1">
        <v>0.49</v>
      </c>
      <c r="G100">
        <v>48.8</v>
      </c>
      <c r="H100">
        <v>48.8</v>
      </c>
      <c r="I100">
        <v>19298</v>
      </c>
      <c r="J100" t="s">
        <v>72</v>
      </c>
      <c r="K100">
        <v>4612</v>
      </c>
      <c r="L100" s="1">
        <v>5.4000000000000003E-3</v>
      </c>
      <c r="M100">
        <v>7630</v>
      </c>
      <c r="N100" s="1">
        <v>6.7000000000000002E-3</v>
      </c>
      <c r="O100">
        <v>372344</v>
      </c>
      <c r="P100" s="1">
        <v>6.7000000000000002E-3</v>
      </c>
      <c r="Q100">
        <v>14992</v>
      </c>
      <c r="R100">
        <v>24476</v>
      </c>
      <c r="S100" s="1">
        <v>0.61250000000000004</v>
      </c>
      <c r="T100">
        <v>2</v>
      </c>
      <c r="U100">
        <v>1024</v>
      </c>
      <c r="Y100" t="s">
        <v>596</v>
      </c>
      <c r="Z100" t="s">
        <v>175</v>
      </c>
      <c r="AA100" t="s">
        <v>1183</v>
      </c>
      <c r="AB100" s="2">
        <v>42126.598587962966</v>
      </c>
      <c r="AC100" t="s">
        <v>640</v>
      </c>
      <c r="AD100" t="s">
        <v>237</v>
      </c>
      <c r="AE100">
        <v>3133</v>
      </c>
      <c r="AF100" t="s">
        <v>78</v>
      </c>
      <c r="AG100" s="1">
        <v>0.98860000000000003</v>
      </c>
      <c r="AH100" t="s">
        <v>79</v>
      </c>
      <c r="AI100" t="s">
        <v>80</v>
      </c>
      <c r="AK100" s="3">
        <v>42244</v>
      </c>
      <c r="AL100" s="4">
        <v>0.875</v>
      </c>
      <c r="AM100" t="s">
        <v>1184</v>
      </c>
      <c r="AN100" t="s">
        <v>111</v>
      </c>
      <c r="AO100">
        <f t="shared" si="1"/>
        <v>21</v>
      </c>
      <c r="AP100" t="s">
        <v>1185</v>
      </c>
    </row>
    <row r="101" spans="1:42" x14ac:dyDescent="0.25">
      <c r="A101">
        <v>100</v>
      </c>
      <c r="B101" t="s">
        <v>1191</v>
      </c>
      <c r="C101" t="s">
        <v>1192</v>
      </c>
      <c r="E101">
        <v>135</v>
      </c>
      <c r="F101" s="1">
        <v>0.24890000000000001</v>
      </c>
      <c r="G101">
        <v>33.6</v>
      </c>
      <c r="H101">
        <v>33.6</v>
      </c>
      <c r="I101">
        <v>25326</v>
      </c>
      <c r="J101" t="s">
        <v>72</v>
      </c>
      <c r="K101">
        <v>4590</v>
      </c>
      <c r="L101" s="1">
        <v>5.4000000000000003E-3</v>
      </c>
      <c r="M101">
        <v>5524</v>
      </c>
      <c r="N101" s="1">
        <v>4.8999999999999998E-3</v>
      </c>
      <c r="O101">
        <v>185606.39999999999</v>
      </c>
      <c r="P101" s="1">
        <v>3.3999999999999998E-3</v>
      </c>
      <c r="Q101">
        <v>11806</v>
      </c>
      <c r="R101">
        <v>50331</v>
      </c>
      <c r="S101" s="1">
        <v>0.2346</v>
      </c>
      <c r="T101">
        <v>9</v>
      </c>
      <c r="U101">
        <v>4095</v>
      </c>
      <c r="Y101" t="s">
        <v>1193</v>
      </c>
      <c r="Z101" t="s">
        <v>175</v>
      </c>
      <c r="AA101" t="s">
        <v>1194</v>
      </c>
      <c r="AB101" s="2">
        <v>41304.811122685183</v>
      </c>
      <c r="AC101" t="s">
        <v>76</v>
      </c>
      <c r="AD101" t="s">
        <v>408</v>
      </c>
      <c r="AE101">
        <v>2113</v>
      </c>
      <c r="AF101" t="s">
        <v>78</v>
      </c>
      <c r="AG101" s="1">
        <v>0.98499999999999999</v>
      </c>
      <c r="AH101" t="s">
        <v>79</v>
      </c>
      <c r="AI101" t="s">
        <v>80</v>
      </c>
      <c r="AK101" s="3">
        <v>42242</v>
      </c>
      <c r="AL101" s="4">
        <v>0.9375</v>
      </c>
      <c r="AM101" t="s">
        <v>1195</v>
      </c>
      <c r="AN101" t="s">
        <v>135</v>
      </c>
      <c r="AO101">
        <f t="shared" si="1"/>
        <v>22</v>
      </c>
      <c r="AP101" t="s">
        <v>1196</v>
      </c>
    </row>
    <row r="102" spans="1:42" x14ac:dyDescent="0.25">
      <c r="A102">
        <v>101</v>
      </c>
      <c r="B102" t="s">
        <v>1201</v>
      </c>
      <c r="C102" t="s">
        <v>1202</v>
      </c>
      <c r="E102">
        <v>160</v>
      </c>
      <c r="F102" s="1">
        <v>0.35</v>
      </c>
      <c r="G102">
        <v>56</v>
      </c>
      <c r="H102">
        <v>56</v>
      </c>
      <c r="I102">
        <v>18406</v>
      </c>
      <c r="J102" t="s">
        <v>72</v>
      </c>
      <c r="K102">
        <v>4582</v>
      </c>
      <c r="L102" s="1">
        <v>5.4000000000000003E-3</v>
      </c>
      <c r="M102">
        <v>5696</v>
      </c>
      <c r="N102" s="1">
        <v>5.0000000000000001E-3</v>
      </c>
      <c r="O102">
        <v>318976</v>
      </c>
      <c r="P102" s="1">
        <v>5.7999999999999996E-3</v>
      </c>
      <c r="Q102">
        <v>5220</v>
      </c>
      <c r="R102">
        <v>30721</v>
      </c>
      <c r="S102" s="1">
        <v>0.1699</v>
      </c>
      <c r="T102">
        <v>7</v>
      </c>
      <c r="U102">
        <v>818</v>
      </c>
      <c r="Y102" t="s">
        <v>551</v>
      </c>
      <c r="Z102" t="s">
        <v>74</v>
      </c>
      <c r="AA102" t="s">
        <v>1203</v>
      </c>
      <c r="AB102" s="2">
        <v>41609.049143518518</v>
      </c>
      <c r="AC102" t="s">
        <v>407</v>
      </c>
      <c r="AD102" t="s">
        <v>109</v>
      </c>
      <c r="AE102">
        <v>1133</v>
      </c>
      <c r="AF102" t="s">
        <v>78</v>
      </c>
      <c r="AG102" s="1">
        <v>0.91839999999999999</v>
      </c>
      <c r="AH102" t="s">
        <v>79</v>
      </c>
      <c r="AI102" t="s">
        <v>80</v>
      </c>
      <c r="AK102" s="3">
        <v>42242</v>
      </c>
      <c r="AL102" s="4">
        <v>0.875</v>
      </c>
      <c r="AM102" t="s">
        <v>1204</v>
      </c>
      <c r="AN102" t="s">
        <v>135</v>
      </c>
      <c r="AO102">
        <f t="shared" si="1"/>
        <v>21</v>
      </c>
      <c r="AP102" t="s">
        <v>1205</v>
      </c>
    </row>
    <row r="103" spans="1:42" x14ac:dyDescent="0.25">
      <c r="A103">
        <v>102</v>
      </c>
      <c r="B103" t="s">
        <v>1210</v>
      </c>
      <c r="C103" t="s">
        <v>1211</v>
      </c>
      <c r="E103">
        <v>198</v>
      </c>
      <c r="F103" s="1">
        <v>0.49</v>
      </c>
      <c r="G103">
        <v>97.02</v>
      </c>
      <c r="H103">
        <v>97.02</v>
      </c>
      <c r="I103">
        <v>2221</v>
      </c>
      <c r="J103" t="s">
        <v>72</v>
      </c>
      <c r="K103">
        <v>4565</v>
      </c>
      <c r="L103" s="1">
        <v>5.3E-3</v>
      </c>
      <c r="M103">
        <v>5311</v>
      </c>
      <c r="N103" s="1">
        <v>4.7000000000000002E-3</v>
      </c>
      <c r="O103">
        <v>515273.22</v>
      </c>
      <c r="P103" s="1">
        <v>9.2999999999999992E-3</v>
      </c>
      <c r="Q103">
        <v>59170</v>
      </c>
      <c r="R103">
        <v>66310</v>
      </c>
      <c r="S103" s="1">
        <v>0.89229999999999998</v>
      </c>
      <c r="T103">
        <v>3</v>
      </c>
      <c r="U103">
        <v>1830</v>
      </c>
      <c r="Y103" t="s">
        <v>1037</v>
      </c>
      <c r="Z103" t="s">
        <v>175</v>
      </c>
      <c r="AA103" t="s">
        <v>1212</v>
      </c>
      <c r="AB103" s="2">
        <v>41090.907650462963</v>
      </c>
      <c r="AC103" t="s">
        <v>192</v>
      </c>
      <c r="AD103" t="s">
        <v>237</v>
      </c>
      <c r="AE103">
        <v>34461</v>
      </c>
      <c r="AF103" t="s">
        <v>78</v>
      </c>
      <c r="AG103" s="1">
        <v>0.97189999999999999</v>
      </c>
      <c r="AH103" t="s">
        <v>79</v>
      </c>
      <c r="AI103" t="s">
        <v>80</v>
      </c>
      <c r="AK103" s="3">
        <v>42240</v>
      </c>
      <c r="AL103" s="4">
        <v>0.91666666666666663</v>
      </c>
      <c r="AM103" t="s">
        <v>1213</v>
      </c>
      <c r="AN103" t="s">
        <v>82</v>
      </c>
      <c r="AO103">
        <f t="shared" si="1"/>
        <v>22</v>
      </c>
      <c r="AP103" t="s">
        <v>1214</v>
      </c>
    </row>
    <row r="104" spans="1:42" x14ac:dyDescent="0.25">
      <c r="A104">
        <v>103</v>
      </c>
      <c r="B104" t="s">
        <v>1219</v>
      </c>
      <c r="C104" t="s">
        <v>1220</v>
      </c>
      <c r="D104">
        <v>888</v>
      </c>
      <c r="E104">
        <v>598</v>
      </c>
      <c r="F104" s="1">
        <v>0.20330000000000001</v>
      </c>
      <c r="G104">
        <v>121.6</v>
      </c>
      <c r="H104">
        <v>121.6</v>
      </c>
      <c r="I104">
        <v>453</v>
      </c>
      <c r="J104" t="s">
        <v>72</v>
      </c>
      <c r="K104">
        <v>4472</v>
      </c>
      <c r="L104" s="1">
        <v>5.1999999999999998E-3</v>
      </c>
      <c r="M104">
        <v>3749</v>
      </c>
      <c r="N104" s="1">
        <v>3.3E-3</v>
      </c>
      <c r="O104">
        <v>455878.40000000002</v>
      </c>
      <c r="P104" s="1">
        <v>8.3000000000000001E-3</v>
      </c>
      <c r="Q104">
        <v>27942</v>
      </c>
      <c r="R104">
        <v>160253</v>
      </c>
      <c r="S104" s="1">
        <v>0.1744</v>
      </c>
      <c r="T104">
        <v>4</v>
      </c>
      <c r="U104">
        <v>1237</v>
      </c>
      <c r="Y104" t="s">
        <v>105</v>
      </c>
      <c r="Z104" t="s">
        <v>74</v>
      </c>
      <c r="AA104" t="s">
        <v>1221</v>
      </c>
      <c r="AB104" s="2">
        <v>41396.507326388892</v>
      </c>
      <c r="AC104" t="s">
        <v>108</v>
      </c>
      <c r="AD104" t="s">
        <v>193</v>
      </c>
      <c r="AE104">
        <v>19211</v>
      </c>
      <c r="AF104" t="s">
        <v>78</v>
      </c>
      <c r="AG104" s="1">
        <v>0.98599999999999999</v>
      </c>
      <c r="AH104" t="s">
        <v>79</v>
      </c>
      <c r="AI104" t="s">
        <v>80</v>
      </c>
      <c r="AK104" s="3">
        <v>42246</v>
      </c>
      <c r="AL104" s="4">
        <v>2.5347222222222221E-3</v>
      </c>
      <c r="AM104" t="s">
        <v>1222</v>
      </c>
      <c r="AN104" t="s">
        <v>194</v>
      </c>
      <c r="AO104">
        <f t="shared" si="1"/>
        <v>0</v>
      </c>
      <c r="AP104" t="s">
        <v>1223</v>
      </c>
    </row>
    <row r="105" spans="1:42" x14ac:dyDescent="0.25">
      <c r="A105">
        <v>104</v>
      </c>
      <c r="B105" t="s">
        <v>1228</v>
      </c>
      <c r="C105" t="s">
        <v>1229</v>
      </c>
      <c r="E105">
        <v>60</v>
      </c>
      <c r="F105" s="1">
        <v>0.49170000000000003</v>
      </c>
      <c r="G105">
        <v>29.5</v>
      </c>
      <c r="H105">
        <v>29.5</v>
      </c>
      <c r="I105">
        <v>51991</v>
      </c>
      <c r="J105" t="s">
        <v>72</v>
      </c>
      <c r="K105">
        <v>4462</v>
      </c>
      <c r="L105" s="1">
        <v>5.1999999999999998E-3</v>
      </c>
      <c r="M105">
        <v>4916</v>
      </c>
      <c r="N105" s="1">
        <v>4.3E-3</v>
      </c>
      <c r="O105">
        <v>145022</v>
      </c>
      <c r="P105" s="1">
        <v>2.5999999999999999E-3</v>
      </c>
      <c r="Q105">
        <v>87454</v>
      </c>
      <c r="R105">
        <v>258332</v>
      </c>
      <c r="S105" s="1">
        <v>0.33850000000000002</v>
      </c>
      <c r="T105">
        <v>18</v>
      </c>
      <c r="U105">
        <v>16798</v>
      </c>
      <c r="Y105" t="s">
        <v>105</v>
      </c>
      <c r="Z105" t="s">
        <v>175</v>
      </c>
      <c r="AA105" t="s">
        <v>1230</v>
      </c>
      <c r="AB105" s="2">
        <v>42128.857245370367</v>
      </c>
      <c r="AC105" t="s">
        <v>224</v>
      </c>
      <c r="AD105" t="s">
        <v>193</v>
      </c>
      <c r="AE105">
        <v>21598</v>
      </c>
      <c r="AF105" t="s">
        <v>78</v>
      </c>
      <c r="AG105" s="1">
        <v>0.9849</v>
      </c>
      <c r="AH105" t="s">
        <v>79</v>
      </c>
      <c r="AI105" t="s">
        <v>80</v>
      </c>
      <c r="AK105" s="3">
        <v>42244</v>
      </c>
      <c r="AL105" s="4">
        <v>0.86111111111111116</v>
      </c>
      <c r="AM105" t="s">
        <v>1231</v>
      </c>
      <c r="AN105" t="s">
        <v>111</v>
      </c>
      <c r="AO105">
        <f t="shared" si="1"/>
        <v>20</v>
      </c>
      <c r="AP105" t="s">
        <v>1232</v>
      </c>
    </row>
    <row r="106" spans="1:42" x14ac:dyDescent="0.25">
      <c r="A106">
        <v>105</v>
      </c>
      <c r="B106" t="s">
        <v>1237</v>
      </c>
      <c r="C106" t="s">
        <v>1238</v>
      </c>
      <c r="D106">
        <v>858</v>
      </c>
      <c r="E106">
        <v>118</v>
      </c>
      <c r="F106" s="1">
        <v>0.495</v>
      </c>
      <c r="G106">
        <v>58.41</v>
      </c>
      <c r="H106">
        <v>58.41</v>
      </c>
      <c r="I106">
        <v>35191</v>
      </c>
      <c r="J106" t="s">
        <v>72</v>
      </c>
      <c r="K106">
        <v>4454</v>
      </c>
      <c r="L106" s="1">
        <v>5.1999999999999998E-3</v>
      </c>
      <c r="M106">
        <v>6260</v>
      </c>
      <c r="N106" s="1">
        <v>5.4999999999999997E-3</v>
      </c>
      <c r="O106">
        <v>365646.6</v>
      </c>
      <c r="P106" s="1">
        <v>6.6E-3</v>
      </c>
      <c r="Q106">
        <v>16174</v>
      </c>
      <c r="R106">
        <v>26250</v>
      </c>
      <c r="S106" s="1">
        <v>0.61619999999999997</v>
      </c>
      <c r="T106">
        <v>12</v>
      </c>
      <c r="U106">
        <v>871</v>
      </c>
      <c r="Y106" t="s">
        <v>1037</v>
      </c>
      <c r="Z106" t="s">
        <v>175</v>
      </c>
      <c r="AA106" t="s">
        <v>1239</v>
      </c>
      <c r="AB106" s="2">
        <v>41555.591273148151</v>
      </c>
      <c r="AC106" t="s">
        <v>640</v>
      </c>
      <c r="AD106" t="s">
        <v>358</v>
      </c>
      <c r="AE106">
        <v>1447</v>
      </c>
      <c r="AF106" t="s">
        <v>78</v>
      </c>
      <c r="AG106" s="1">
        <v>0.98460000000000003</v>
      </c>
      <c r="AH106" t="s">
        <v>79</v>
      </c>
      <c r="AI106" t="s">
        <v>80</v>
      </c>
      <c r="AK106" s="3">
        <v>42246</v>
      </c>
      <c r="AL106" s="4">
        <v>0.64619212962962969</v>
      </c>
      <c r="AM106" t="s">
        <v>1240</v>
      </c>
      <c r="AN106" t="s">
        <v>194</v>
      </c>
      <c r="AO106">
        <f t="shared" si="1"/>
        <v>15</v>
      </c>
      <c r="AP106" t="s">
        <v>1241</v>
      </c>
    </row>
    <row r="107" spans="1:42" x14ac:dyDescent="0.25">
      <c r="A107">
        <v>106</v>
      </c>
      <c r="B107" t="s">
        <v>1249</v>
      </c>
      <c r="C107" t="s">
        <v>1018</v>
      </c>
      <c r="E107">
        <v>128</v>
      </c>
      <c r="F107" s="1">
        <v>0.218</v>
      </c>
      <c r="G107">
        <v>27.9</v>
      </c>
      <c r="H107">
        <v>27.9</v>
      </c>
      <c r="I107">
        <v>4758</v>
      </c>
      <c r="J107" t="s">
        <v>72</v>
      </c>
      <c r="K107">
        <v>4453</v>
      </c>
      <c r="L107" s="1">
        <v>5.1999999999999998E-3</v>
      </c>
      <c r="M107">
        <v>6685</v>
      </c>
      <c r="N107" s="1">
        <v>5.8999999999999999E-3</v>
      </c>
      <c r="O107">
        <v>186511.5</v>
      </c>
      <c r="P107" s="1">
        <v>3.3999999999999998E-3</v>
      </c>
      <c r="Q107">
        <v>19766</v>
      </c>
      <c r="R107">
        <v>116755</v>
      </c>
      <c r="S107" s="1">
        <v>0.16930000000000001</v>
      </c>
      <c r="T107">
        <v>6</v>
      </c>
      <c r="U107">
        <v>6130</v>
      </c>
      <c r="Y107" t="s">
        <v>466</v>
      </c>
      <c r="Z107" t="s">
        <v>175</v>
      </c>
      <c r="AA107" t="s">
        <v>1250</v>
      </c>
      <c r="AB107" s="2">
        <v>39741.877465277779</v>
      </c>
      <c r="AC107" t="s">
        <v>224</v>
      </c>
      <c r="AD107" t="s">
        <v>358</v>
      </c>
      <c r="AE107">
        <v>7809</v>
      </c>
      <c r="AF107" t="s">
        <v>78</v>
      </c>
      <c r="AG107" s="1">
        <v>0.96760000000000002</v>
      </c>
      <c r="AH107" t="s">
        <v>79</v>
      </c>
      <c r="AI107" t="s">
        <v>80</v>
      </c>
      <c r="AK107" s="3">
        <v>42243</v>
      </c>
      <c r="AL107" s="4">
        <v>0.88773148148148151</v>
      </c>
      <c r="AM107" t="s">
        <v>1251</v>
      </c>
      <c r="AN107" t="s">
        <v>179</v>
      </c>
      <c r="AO107">
        <f t="shared" si="1"/>
        <v>21</v>
      </c>
      <c r="AP107" t="s">
        <v>1252</v>
      </c>
    </row>
    <row r="108" spans="1:42" x14ac:dyDescent="0.25">
      <c r="A108">
        <v>107</v>
      </c>
      <c r="B108" t="s">
        <v>1256</v>
      </c>
      <c r="C108" t="s">
        <v>1257</v>
      </c>
      <c r="E108">
        <v>35.799999999999997</v>
      </c>
      <c r="F108" s="1">
        <v>1</v>
      </c>
      <c r="G108">
        <v>35.799999999999997</v>
      </c>
      <c r="H108">
        <v>35.799999999999997</v>
      </c>
      <c r="I108">
        <v>3033</v>
      </c>
      <c r="J108" t="s">
        <v>72</v>
      </c>
      <c r="K108">
        <v>4402</v>
      </c>
      <c r="L108" s="1">
        <v>5.1000000000000004E-3</v>
      </c>
      <c r="M108">
        <v>5400</v>
      </c>
      <c r="N108" s="1">
        <v>4.7999999999999996E-3</v>
      </c>
      <c r="O108">
        <v>193320</v>
      </c>
      <c r="P108" s="1">
        <v>3.5000000000000001E-3</v>
      </c>
      <c r="Q108">
        <v>25190</v>
      </c>
      <c r="R108">
        <v>40122</v>
      </c>
      <c r="S108" s="1">
        <v>0.62780000000000002</v>
      </c>
      <c r="T108">
        <v>3</v>
      </c>
      <c r="U108">
        <v>3151</v>
      </c>
      <c r="Y108" t="s">
        <v>105</v>
      </c>
      <c r="Z108" t="s">
        <v>175</v>
      </c>
      <c r="AA108" t="s">
        <v>1258</v>
      </c>
      <c r="AB108" s="2">
        <v>41345.933946759258</v>
      </c>
      <c r="AC108" t="s">
        <v>322</v>
      </c>
      <c r="AD108" t="s">
        <v>237</v>
      </c>
      <c r="AE108">
        <v>1118893</v>
      </c>
      <c r="AF108" t="s">
        <v>78</v>
      </c>
      <c r="AG108" s="1">
        <v>0.9819</v>
      </c>
      <c r="AH108" t="s">
        <v>79</v>
      </c>
      <c r="AI108" t="s">
        <v>80</v>
      </c>
      <c r="AK108" s="3">
        <v>42244</v>
      </c>
      <c r="AL108" s="4">
        <v>0.86414351851851856</v>
      </c>
      <c r="AM108" t="s">
        <v>1259</v>
      </c>
      <c r="AN108" t="s">
        <v>111</v>
      </c>
      <c r="AO108">
        <f t="shared" si="1"/>
        <v>20</v>
      </c>
      <c r="AP108" t="s">
        <v>1260</v>
      </c>
    </row>
    <row r="109" spans="1:42" x14ac:dyDescent="0.25">
      <c r="A109">
        <v>108</v>
      </c>
      <c r="B109" t="s">
        <v>1264</v>
      </c>
      <c r="C109" t="s">
        <v>1265</v>
      </c>
      <c r="D109" t="s">
        <v>1266</v>
      </c>
      <c r="E109">
        <v>256</v>
      </c>
      <c r="F109" s="1">
        <v>0.495</v>
      </c>
      <c r="G109">
        <v>126.72</v>
      </c>
      <c r="H109">
        <v>126.72</v>
      </c>
      <c r="I109">
        <v>374</v>
      </c>
      <c r="J109" t="s">
        <v>72</v>
      </c>
      <c r="K109">
        <v>4380</v>
      </c>
      <c r="L109" s="1">
        <v>5.1000000000000004E-3</v>
      </c>
      <c r="M109">
        <v>6775</v>
      </c>
      <c r="N109" s="1">
        <v>6.0000000000000001E-3</v>
      </c>
      <c r="O109">
        <v>858528</v>
      </c>
      <c r="P109" s="1">
        <v>1.55E-2</v>
      </c>
      <c r="Q109">
        <v>70284</v>
      </c>
      <c r="R109">
        <v>106270</v>
      </c>
      <c r="S109" s="1">
        <v>0.66139999999999999</v>
      </c>
      <c r="T109">
        <v>1</v>
      </c>
      <c r="U109">
        <v>394</v>
      </c>
      <c r="Y109" t="s">
        <v>561</v>
      </c>
      <c r="Z109" t="s">
        <v>74</v>
      </c>
      <c r="AA109" t="s">
        <v>562</v>
      </c>
      <c r="AB109" s="2">
        <v>39248.55945601852</v>
      </c>
      <c r="AC109" t="s">
        <v>322</v>
      </c>
      <c r="AD109" t="s">
        <v>323</v>
      </c>
      <c r="AE109">
        <v>2664091</v>
      </c>
      <c r="AF109" t="s">
        <v>78</v>
      </c>
      <c r="AG109" s="1">
        <v>0.98970000000000002</v>
      </c>
      <c r="AH109" t="s">
        <v>79</v>
      </c>
      <c r="AI109" t="s">
        <v>80</v>
      </c>
      <c r="AK109" s="3">
        <v>42243</v>
      </c>
      <c r="AL109" s="4">
        <v>0.42336805555555551</v>
      </c>
      <c r="AM109" t="s">
        <v>1267</v>
      </c>
      <c r="AN109" t="s">
        <v>179</v>
      </c>
      <c r="AO109">
        <f t="shared" si="1"/>
        <v>10</v>
      </c>
      <c r="AP109" t="s">
        <v>1268</v>
      </c>
    </row>
    <row r="110" spans="1:42" x14ac:dyDescent="0.25">
      <c r="A110">
        <v>109</v>
      </c>
      <c r="B110" t="s">
        <v>1272</v>
      </c>
      <c r="C110" t="s">
        <v>1273</v>
      </c>
      <c r="D110" t="s">
        <v>1274</v>
      </c>
      <c r="E110">
        <v>356</v>
      </c>
      <c r="F110" s="1">
        <v>0.495</v>
      </c>
      <c r="G110">
        <v>176.22</v>
      </c>
      <c r="H110">
        <v>176.22</v>
      </c>
      <c r="I110">
        <v>10560</v>
      </c>
      <c r="J110" t="s">
        <v>72</v>
      </c>
      <c r="K110">
        <v>4348</v>
      </c>
      <c r="L110" s="1">
        <v>5.1000000000000004E-3</v>
      </c>
      <c r="M110">
        <v>6303</v>
      </c>
      <c r="N110" s="1">
        <v>5.5999999999999999E-3</v>
      </c>
      <c r="O110">
        <v>1110714.6599999999</v>
      </c>
      <c r="P110" s="1">
        <v>2.01E-2</v>
      </c>
      <c r="Q110">
        <v>25108</v>
      </c>
      <c r="R110">
        <v>183704</v>
      </c>
      <c r="S110" s="1">
        <v>0.13669999999999999</v>
      </c>
      <c r="T110">
        <v>11</v>
      </c>
      <c r="U110">
        <v>33</v>
      </c>
      <c r="Y110" t="s">
        <v>1275</v>
      </c>
      <c r="Z110" t="s">
        <v>74</v>
      </c>
      <c r="AA110" t="s">
        <v>1276</v>
      </c>
      <c r="AB110" s="2">
        <v>42001.887719907405</v>
      </c>
      <c r="AC110" t="s">
        <v>76</v>
      </c>
      <c r="AD110" t="s">
        <v>383</v>
      </c>
      <c r="AE110">
        <v>34747</v>
      </c>
      <c r="AF110" t="s">
        <v>78</v>
      </c>
      <c r="AG110" s="1">
        <v>0.99060000000000004</v>
      </c>
      <c r="AH110" t="s">
        <v>79</v>
      </c>
      <c r="AI110" t="s">
        <v>80</v>
      </c>
      <c r="AK110" s="3">
        <v>42240</v>
      </c>
      <c r="AL110" s="4">
        <v>0.38541666666666669</v>
      </c>
      <c r="AM110" s="5">
        <v>0.6286342592592592</v>
      </c>
      <c r="AN110" t="s">
        <v>82</v>
      </c>
      <c r="AO110">
        <f t="shared" si="1"/>
        <v>9</v>
      </c>
      <c r="AP110" t="s">
        <v>1277</v>
      </c>
    </row>
    <row r="111" spans="1:42" x14ac:dyDescent="0.25">
      <c r="A111">
        <v>110</v>
      </c>
      <c r="B111" t="s">
        <v>1284</v>
      </c>
      <c r="C111" t="s">
        <v>1285</v>
      </c>
      <c r="E111">
        <v>199</v>
      </c>
      <c r="F111" s="1">
        <v>0.1764</v>
      </c>
      <c r="G111">
        <v>35.11</v>
      </c>
      <c r="H111">
        <v>35.11</v>
      </c>
      <c r="I111">
        <v>10630</v>
      </c>
      <c r="J111" t="s">
        <v>72</v>
      </c>
      <c r="K111">
        <v>4340</v>
      </c>
      <c r="L111" s="1">
        <v>5.1000000000000004E-3</v>
      </c>
      <c r="M111">
        <v>6812</v>
      </c>
      <c r="N111" s="1">
        <v>6.0000000000000001E-3</v>
      </c>
      <c r="O111">
        <v>239169.32</v>
      </c>
      <c r="P111" s="1">
        <v>4.3E-3</v>
      </c>
      <c r="Q111">
        <v>18448</v>
      </c>
      <c r="R111">
        <v>105590</v>
      </c>
      <c r="S111" s="1">
        <v>0.17469999999999999</v>
      </c>
      <c r="T111">
        <v>45</v>
      </c>
      <c r="U111">
        <v>451</v>
      </c>
      <c r="Y111" t="s">
        <v>672</v>
      </c>
      <c r="Z111" t="s">
        <v>175</v>
      </c>
      <c r="AA111" t="s">
        <v>1286</v>
      </c>
      <c r="AB111" s="2">
        <v>41328.920266203706</v>
      </c>
      <c r="AC111" t="s">
        <v>224</v>
      </c>
      <c r="AD111" t="s">
        <v>77</v>
      </c>
      <c r="AE111">
        <v>23300</v>
      </c>
      <c r="AF111" t="s">
        <v>78</v>
      </c>
      <c r="AG111" s="1">
        <v>0.97489999999999999</v>
      </c>
      <c r="AH111" t="s">
        <v>79</v>
      </c>
      <c r="AI111" t="s">
        <v>80</v>
      </c>
      <c r="AK111" s="3">
        <v>42241</v>
      </c>
      <c r="AL111" s="4">
        <v>0.92768518518518517</v>
      </c>
      <c r="AM111" t="s">
        <v>1287</v>
      </c>
      <c r="AN111" t="s">
        <v>251</v>
      </c>
      <c r="AO111">
        <f t="shared" si="1"/>
        <v>22</v>
      </c>
      <c r="AP111" t="s">
        <v>1288</v>
      </c>
    </row>
    <row r="112" spans="1:42" x14ac:dyDescent="0.25">
      <c r="A112">
        <v>111</v>
      </c>
      <c r="B112" t="s">
        <v>1295</v>
      </c>
      <c r="C112" t="s">
        <v>1296</v>
      </c>
      <c r="E112">
        <v>139</v>
      </c>
      <c r="F112" s="1">
        <v>0.34899999999999998</v>
      </c>
      <c r="G112">
        <v>48.51</v>
      </c>
      <c r="H112">
        <v>48.51</v>
      </c>
      <c r="I112">
        <v>47950</v>
      </c>
      <c r="J112" t="s">
        <v>72</v>
      </c>
      <c r="K112">
        <v>4320</v>
      </c>
      <c r="L112" s="1">
        <v>5.0000000000000001E-3</v>
      </c>
      <c r="M112">
        <v>5095</v>
      </c>
      <c r="N112" s="1">
        <v>4.4999999999999997E-3</v>
      </c>
      <c r="O112">
        <v>247158.45</v>
      </c>
      <c r="P112" s="1">
        <v>4.4999999999999997E-3</v>
      </c>
      <c r="Q112">
        <v>8278</v>
      </c>
      <c r="R112">
        <v>21967</v>
      </c>
      <c r="S112" s="1">
        <v>0.37680000000000002</v>
      </c>
      <c r="T112">
        <v>0</v>
      </c>
      <c r="U112">
        <v>1241</v>
      </c>
      <c r="Y112" t="s">
        <v>1275</v>
      </c>
      <c r="Z112" t="s">
        <v>175</v>
      </c>
      <c r="AA112" t="s">
        <v>1297</v>
      </c>
      <c r="AB112" s="2">
        <v>42113.470775462964</v>
      </c>
      <c r="AC112" t="s">
        <v>209</v>
      </c>
      <c r="AD112" t="s">
        <v>109</v>
      </c>
      <c r="AE112">
        <v>904</v>
      </c>
      <c r="AF112" t="s">
        <v>78</v>
      </c>
      <c r="AG112" s="1">
        <v>0.92320000000000002</v>
      </c>
      <c r="AH112" t="s">
        <v>79</v>
      </c>
      <c r="AI112" t="s">
        <v>80</v>
      </c>
      <c r="AK112" s="3">
        <v>42243</v>
      </c>
      <c r="AL112" s="4">
        <v>0.68275462962962974</v>
      </c>
      <c r="AM112" t="s">
        <v>1298</v>
      </c>
      <c r="AN112" t="s">
        <v>179</v>
      </c>
      <c r="AO112">
        <f t="shared" si="1"/>
        <v>16</v>
      </c>
      <c r="AP112" t="s">
        <v>1299</v>
      </c>
    </row>
    <row r="113" spans="1:42" x14ac:dyDescent="0.25">
      <c r="A113">
        <v>112</v>
      </c>
      <c r="B113" t="s">
        <v>1305</v>
      </c>
      <c r="C113" t="s">
        <v>1306</v>
      </c>
      <c r="E113">
        <v>317</v>
      </c>
      <c r="F113" s="1">
        <v>0.18609999999999999</v>
      </c>
      <c r="G113">
        <v>59</v>
      </c>
      <c r="H113">
        <v>59</v>
      </c>
      <c r="I113">
        <v>4050</v>
      </c>
      <c r="J113" t="s">
        <v>72</v>
      </c>
      <c r="K113">
        <v>4284</v>
      </c>
      <c r="L113" s="1">
        <v>5.0000000000000001E-3</v>
      </c>
      <c r="M113">
        <v>5021</v>
      </c>
      <c r="N113" s="1">
        <v>4.4000000000000003E-3</v>
      </c>
      <c r="O113">
        <v>296239</v>
      </c>
      <c r="P113" s="1">
        <v>5.4000000000000003E-3</v>
      </c>
      <c r="Q113">
        <v>48974</v>
      </c>
      <c r="R113">
        <v>25336</v>
      </c>
      <c r="S113" s="1">
        <v>1.9330000000000001</v>
      </c>
      <c r="T113">
        <v>4</v>
      </c>
      <c r="U113">
        <v>1620</v>
      </c>
      <c r="Y113" t="s">
        <v>425</v>
      </c>
      <c r="Z113" t="s">
        <v>175</v>
      </c>
      <c r="AA113" t="s">
        <v>1307</v>
      </c>
      <c r="AB113" s="2">
        <v>41861.717407407406</v>
      </c>
      <c r="AC113" t="s">
        <v>407</v>
      </c>
      <c r="AD113" t="s">
        <v>237</v>
      </c>
      <c r="AE113">
        <v>9612</v>
      </c>
      <c r="AF113" t="s">
        <v>78</v>
      </c>
      <c r="AG113" s="1">
        <v>0.95589999999999997</v>
      </c>
      <c r="AH113" t="s">
        <v>79</v>
      </c>
      <c r="AI113" t="s">
        <v>80</v>
      </c>
      <c r="AK113" s="3">
        <v>42239</v>
      </c>
      <c r="AL113" s="4">
        <v>0.85069444444444453</v>
      </c>
      <c r="AM113" s="5">
        <v>9.3912037037037044E-2</v>
      </c>
      <c r="AN113" t="s">
        <v>194</v>
      </c>
      <c r="AO113">
        <f t="shared" si="1"/>
        <v>20</v>
      </c>
      <c r="AP113" t="s">
        <v>1308</v>
      </c>
    </row>
    <row r="114" spans="1:42" x14ac:dyDescent="0.25">
      <c r="A114">
        <v>113</v>
      </c>
      <c r="B114" t="s">
        <v>1313</v>
      </c>
      <c r="C114" t="s">
        <v>1314</v>
      </c>
      <c r="E114">
        <v>108</v>
      </c>
      <c r="F114" s="1">
        <v>0.41670000000000001</v>
      </c>
      <c r="G114">
        <v>45</v>
      </c>
      <c r="H114">
        <v>45</v>
      </c>
      <c r="I114">
        <v>22702</v>
      </c>
      <c r="J114" t="s">
        <v>72</v>
      </c>
      <c r="K114">
        <v>4245</v>
      </c>
      <c r="L114" s="1">
        <v>5.0000000000000001E-3</v>
      </c>
      <c r="M114">
        <v>4876</v>
      </c>
      <c r="N114" s="1">
        <v>4.3E-3</v>
      </c>
      <c r="O114">
        <v>219420</v>
      </c>
      <c r="P114" s="1">
        <v>4.0000000000000001E-3</v>
      </c>
      <c r="Q114">
        <v>28018</v>
      </c>
      <c r="R114">
        <v>59328</v>
      </c>
      <c r="S114" s="1">
        <v>0.4723</v>
      </c>
      <c r="T114">
        <v>1</v>
      </c>
      <c r="U114">
        <v>2460</v>
      </c>
      <c r="Y114" t="s">
        <v>105</v>
      </c>
      <c r="Z114" t="s">
        <v>175</v>
      </c>
      <c r="AA114" t="s">
        <v>1315</v>
      </c>
      <c r="AB114" s="2">
        <v>41183.121516203704</v>
      </c>
      <c r="AC114" t="s">
        <v>76</v>
      </c>
      <c r="AD114" t="s">
        <v>237</v>
      </c>
      <c r="AE114">
        <v>5254</v>
      </c>
      <c r="AF114" t="s">
        <v>78</v>
      </c>
      <c r="AG114" s="1">
        <v>0.97619999999999996</v>
      </c>
      <c r="AH114" t="s">
        <v>79</v>
      </c>
      <c r="AI114" t="s">
        <v>80</v>
      </c>
      <c r="AK114" s="3">
        <v>42240</v>
      </c>
      <c r="AL114" s="4">
        <v>0.96875</v>
      </c>
      <c r="AM114" t="s">
        <v>1316</v>
      </c>
      <c r="AN114" t="s">
        <v>82</v>
      </c>
      <c r="AO114">
        <f t="shared" si="1"/>
        <v>23</v>
      </c>
      <c r="AP114" t="s">
        <v>1317</v>
      </c>
    </row>
    <row r="115" spans="1:42" x14ac:dyDescent="0.25">
      <c r="A115">
        <v>114</v>
      </c>
      <c r="B115" t="s">
        <v>1321</v>
      </c>
      <c r="C115" t="s">
        <v>1322</v>
      </c>
      <c r="D115" t="s">
        <v>1323</v>
      </c>
      <c r="E115">
        <v>399</v>
      </c>
      <c r="F115" s="1">
        <v>0.28570000000000001</v>
      </c>
      <c r="G115">
        <v>114</v>
      </c>
      <c r="H115">
        <v>114</v>
      </c>
      <c r="I115">
        <v>8156</v>
      </c>
      <c r="J115" t="s">
        <v>72</v>
      </c>
      <c r="K115">
        <v>4230</v>
      </c>
      <c r="L115" s="1">
        <v>4.8999999999999998E-3</v>
      </c>
      <c r="M115">
        <v>5465</v>
      </c>
      <c r="N115" s="1">
        <v>4.7999999999999996E-3</v>
      </c>
      <c r="O115">
        <v>623010</v>
      </c>
      <c r="P115" s="1">
        <v>1.1299999999999999E-2</v>
      </c>
      <c r="Q115">
        <v>131398</v>
      </c>
      <c r="R115" t="s">
        <v>154</v>
      </c>
      <c r="S115" t="s">
        <v>154</v>
      </c>
      <c r="T115">
        <v>128</v>
      </c>
      <c r="U115">
        <v>12712</v>
      </c>
      <c r="Z115" t="s">
        <v>74</v>
      </c>
      <c r="AA115" t="s">
        <v>1324</v>
      </c>
      <c r="AB115" s="2">
        <v>41920.621006944442</v>
      </c>
      <c r="AC115" t="s">
        <v>76</v>
      </c>
      <c r="AD115" t="s">
        <v>1325</v>
      </c>
      <c r="AE115">
        <v>31368</v>
      </c>
      <c r="AF115" t="s">
        <v>159</v>
      </c>
      <c r="AG115" s="1">
        <v>1</v>
      </c>
      <c r="AH115" t="s">
        <v>79</v>
      </c>
      <c r="AI115" t="s">
        <v>80</v>
      </c>
      <c r="AK115" s="3">
        <v>42241</v>
      </c>
      <c r="AL115" s="4">
        <v>0.87520833333333325</v>
      </c>
      <c r="AM115" t="s">
        <v>1326</v>
      </c>
      <c r="AN115" t="s">
        <v>251</v>
      </c>
      <c r="AO115">
        <f t="shared" si="1"/>
        <v>21</v>
      </c>
      <c r="AP115" t="s">
        <v>1327</v>
      </c>
    </row>
    <row r="116" spans="1:42" x14ac:dyDescent="0.25">
      <c r="A116">
        <v>115</v>
      </c>
      <c r="B116" t="s">
        <v>1333</v>
      </c>
      <c r="C116" t="s">
        <v>1334</v>
      </c>
      <c r="E116">
        <v>238</v>
      </c>
      <c r="F116" s="1">
        <v>0.69179999999999997</v>
      </c>
      <c r="G116">
        <v>164.64</v>
      </c>
      <c r="H116">
        <v>164.64</v>
      </c>
      <c r="I116">
        <v>245076</v>
      </c>
      <c r="J116" t="s">
        <v>72</v>
      </c>
      <c r="K116">
        <v>4213</v>
      </c>
      <c r="L116" s="1">
        <v>4.8999999999999998E-3</v>
      </c>
      <c r="M116">
        <v>4404</v>
      </c>
      <c r="N116" s="1">
        <v>3.8999999999999998E-3</v>
      </c>
      <c r="O116">
        <v>725074.56</v>
      </c>
      <c r="P116" s="1">
        <v>1.3100000000000001E-2</v>
      </c>
      <c r="Q116">
        <v>49052</v>
      </c>
      <c r="R116">
        <v>274568</v>
      </c>
      <c r="S116" s="1">
        <v>0.1787</v>
      </c>
      <c r="T116">
        <v>11</v>
      </c>
      <c r="U116">
        <v>2983</v>
      </c>
      <c r="Y116" t="s">
        <v>381</v>
      </c>
      <c r="Z116" t="s">
        <v>74</v>
      </c>
      <c r="AA116" t="s">
        <v>1335</v>
      </c>
      <c r="AB116" s="2">
        <v>40476.155740740738</v>
      </c>
      <c r="AC116" t="s">
        <v>76</v>
      </c>
      <c r="AD116" t="s">
        <v>383</v>
      </c>
      <c r="AE116">
        <v>35241</v>
      </c>
      <c r="AF116" t="s">
        <v>78</v>
      </c>
      <c r="AG116" s="1">
        <v>0.98860000000000003</v>
      </c>
      <c r="AH116" t="s">
        <v>79</v>
      </c>
      <c r="AI116" t="s">
        <v>80</v>
      </c>
      <c r="AK116" s="3">
        <v>42239</v>
      </c>
      <c r="AL116" s="4">
        <v>0.7587962962962963</v>
      </c>
      <c r="AM116" t="s">
        <v>1336</v>
      </c>
      <c r="AN116" t="s">
        <v>194</v>
      </c>
      <c r="AO116">
        <f t="shared" si="1"/>
        <v>18</v>
      </c>
      <c r="AP116" t="s">
        <v>1337</v>
      </c>
    </row>
    <row r="117" spans="1:42" x14ac:dyDescent="0.25">
      <c r="A117">
        <v>116</v>
      </c>
      <c r="B117" t="s">
        <v>1341</v>
      </c>
      <c r="C117" t="s">
        <v>1342</v>
      </c>
      <c r="D117" t="s">
        <v>1343</v>
      </c>
      <c r="E117">
        <v>24.98</v>
      </c>
      <c r="F117" s="1">
        <v>0.91190000000000004</v>
      </c>
      <c r="G117">
        <v>22.78</v>
      </c>
      <c r="H117">
        <v>22.78</v>
      </c>
      <c r="I117">
        <v>33994</v>
      </c>
      <c r="J117" t="s">
        <v>72</v>
      </c>
      <c r="K117">
        <v>4211</v>
      </c>
      <c r="L117" s="1">
        <v>4.8999999999999998E-3</v>
      </c>
      <c r="M117">
        <v>4965</v>
      </c>
      <c r="N117" s="1">
        <v>4.4000000000000003E-3</v>
      </c>
      <c r="O117">
        <v>113102.7</v>
      </c>
      <c r="P117" s="1">
        <v>2E-3</v>
      </c>
      <c r="Q117">
        <v>14398</v>
      </c>
      <c r="R117">
        <v>18784</v>
      </c>
      <c r="S117" s="1">
        <v>0.76649999999999996</v>
      </c>
      <c r="T117">
        <v>0</v>
      </c>
      <c r="U117">
        <v>1109</v>
      </c>
      <c r="Y117" t="s">
        <v>105</v>
      </c>
      <c r="Z117" t="s">
        <v>175</v>
      </c>
      <c r="AA117" t="s">
        <v>1344</v>
      </c>
      <c r="AB117" s="2">
        <v>41169.94394675926</v>
      </c>
      <c r="AC117" t="s">
        <v>468</v>
      </c>
      <c r="AD117" t="s">
        <v>307</v>
      </c>
      <c r="AE117">
        <v>2155320</v>
      </c>
      <c r="AF117" t="s">
        <v>78</v>
      </c>
      <c r="AG117" s="1">
        <v>0.97450000000000003</v>
      </c>
      <c r="AH117" t="s">
        <v>79</v>
      </c>
      <c r="AI117" t="s">
        <v>80</v>
      </c>
      <c r="AK117" s="3">
        <v>42243</v>
      </c>
      <c r="AL117" s="4">
        <v>0.83416666666666661</v>
      </c>
      <c r="AM117" t="s">
        <v>1345</v>
      </c>
      <c r="AN117" t="s">
        <v>179</v>
      </c>
      <c r="AO117">
        <f t="shared" si="1"/>
        <v>20</v>
      </c>
      <c r="AP117" t="s">
        <v>1346</v>
      </c>
    </row>
    <row r="118" spans="1:42" x14ac:dyDescent="0.25">
      <c r="A118">
        <v>117</v>
      </c>
      <c r="B118" t="s">
        <v>1349</v>
      </c>
      <c r="C118" t="s">
        <v>550</v>
      </c>
      <c r="D118">
        <v>3552</v>
      </c>
      <c r="E118">
        <v>208</v>
      </c>
      <c r="F118" s="1">
        <v>0.1192</v>
      </c>
      <c r="G118">
        <v>24.8</v>
      </c>
      <c r="H118">
        <v>24.8</v>
      </c>
      <c r="I118">
        <v>22979</v>
      </c>
      <c r="J118" t="s">
        <v>72</v>
      </c>
      <c r="K118">
        <v>4199</v>
      </c>
      <c r="L118" s="1">
        <v>4.8999999999999998E-3</v>
      </c>
      <c r="M118">
        <v>4802</v>
      </c>
      <c r="N118" s="1">
        <v>4.1999999999999997E-3</v>
      </c>
      <c r="O118">
        <v>119089.60000000001</v>
      </c>
      <c r="P118" s="1">
        <v>2.2000000000000001E-3</v>
      </c>
      <c r="Q118">
        <v>55570</v>
      </c>
      <c r="R118" t="s">
        <v>154</v>
      </c>
      <c r="S118" t="s">
        <v>154</v>
      </c>
      <c r="T118">
        <v>3</v>
      </c>
      <c r="U118">
        <v>10479</v>
      </c>
      <c r="W118" t="s">
        <v>849</v>
      </c>
      <c r="Z118" t="s">
        <v>175</v>
      </c>
      <c r="AA118" t="s">
        <v>850</v>
      </c>
      <c r="AB118" s="2">
        <v>41887.707673611112</v>
      </c>
      <c r="AC118" t="s">
        <v>224</v>
      </c>
      <c r="AD118" t="s">
        <v>851</v>
      </c>
      <c r="AE118">
        <v>9395</v>
      </c>
      <c r="AF118" t="s">
        <v>159</v>
      </c>
      <c r="AG118" s="1">
        <v>1</v>
      </c>
      <c r="AH118" t="s">
        <v>79</v>
      </c>
      <c r="AI118" t="s">
        <v>80</v>
      </c>
      <c r="AK118" s="3">
        <v>42244</v>
      </c>
      <c r="AL118" s="4">
        <v>0.38732638888888887</v>
      </c>
      <c r="AM118" t="s">
        <v>1350</v>
      </c>
      <c r="AN118" t="s">
        <v>111</v>
      </c>
      <c r="AO118">
        <f t="shared" si="1"/>
        <v>9</v>
      </c>
      <c r="AP118" t="s">
        <v>1351</v>
      </c>
    </row>
    <row r="119" spans="1:42" x14ac:dyDescent="0.25">
      <c r="A119">
        <v>118</v>
      </c>
      <c r="B119" t="s">
        <v>1354</v>
      </c>
      <c r="C119" t="s">
        <v>1355</v>
      </c>
      <c r="E119">
        <v>118</v>
      </c>
      <c r="F119" s="1">
        <v>0.32200000000000001</v>
      </c>
      <c r="G119">
        <v>38</v>
      </c>
      <c r="H119">
        <v>38</v>
      </c>
      <c r="I119">
        <v>6882</v>
      </c>
      <c r="J119" t="s">
        <v>72</v>
      </c>
      <c r="K119">
        <v>4179</v>
      </c>
      <c r="L119" s="1">
        <v>4.8999999999999998E-3</v>
      </c>
      <c r="M119">
        <v>4702</v>
      </c>
      <c r="N119" s="1">
        <v>4.1000000000000003E-3</v>
      </c>
      <c r="O119">
        <v>178676</v>
      </c>
      <c r="P119" s="1">
        <v>3.2000000000000002E-3</v>
      </c>
      <c r="Q119">
        <v>26098</v>
      </c>
      <c r="R119">
        <v>154966</v>
      </c>
      <c r="S119" s="1">
        <v>0.16839999999999999</v>
      </c>
      <c r="T119">
        <v>16</v>
      </c>
      <c r="U119">
        <v>3091</v>
      </c>
      <c r="Y119" t="s">
        <v>131</v>
      </c>
      <c r="Z119" t="s">
        <v>175</v>
      </c>
      <c r="AA119" t="s">
        <v>235</v>
      </c>
      <c r="AB119" s="2">
        <v>41112.482210648152</v>
      </c>
      <c r="AC119" t="s">
        <v>236</v>
      </c>
      <c r="AD119" t="s">
        <v>237</v>
      </c>
      <c r="AE119">
        <v>139674</v>
      </c>
      <c r="AF119" t="s">
        <v>78</v>
      </c>
      <c r="AG119" s="1">
        <v>0.9849</v>
      </c>
      <c r="AH119" t="s">
        <v>79</v>
      </c>
      <c r="AI119" t="s">
        <v>80</v>
      </c>
      <c r="AK119" s="3">
        <v>42245</v>
      </c>
      <c r="AL119" s="4">
        <v>0.91005787037037045</v>
      </c>
      <c r="AM119" t="s">
        <v>1356</v>
      </c>
      <c r="AN119" t="s">
        <v>161</v>
      </c>
      <c r="AO119">
        <f t="shared" si="1"/>
        <v>21</v>
      </c>
      <c r="AP119" t="s">
        <v>1357</v>
      </c>
    </row>
    <row r="120" spans="1:42" x14ac:dyDescent="0.25">
      <c r="A120">
        <v>119</v>
      </c>
      <c r="B120" t="s">
        <v>1361</v>
      </c>
      <c r="C120" t="s">
        <v>1362</v>
      </c>
      <c r="D120">
        <v>24234</v>
      </c>
      <c r="E120">
        <v>423</v>
      </c>
      <c r="F120" s="1">
        <v>0.11119999999999999</v>
      </c>
      <c r="G120">
        <v>47.04</v>
      </c>
      <c r="H120">
        <v>47.04</v>
      </c>
      <c r="I120">
        <v>18663</v>
      </c>
      <c r="J120" t="s">
        <v>72</v>
      </c>
      <c r="K120">
        <v>4160</v>
      </c>
      <c r="L120" s="1">
        <v>4.8999999999999998E-3</v>
      </c>
      <c r="M120">
        <v>4619</v>
      </c>
      <c r="N120" s="1">
        <v>4.1000000000000003E-3</v>
      </c>
      <c r="O120">
        <v>217277.76</v>
      </c>
      <c r="P120" s="1">
        <v>3.8999999999999998E-3</v>
      </c>
      <c r="Q120">
        <v>43148</v>
      </c>
      <c r="R120">
        <v>70443</v>
      </c>
      <c r="S120" s="1">
        <v>0.61250000000000004</v>
      </c>
      <c r="T120">
        <v>3</v>
      </c>
      <c r="U120">
        <v>3197</v>
      </c>
      <c r="Y120" t="s">
        <v>1084</v>
      </c>
      <c r="Z120" t="s">
        <v>175</v>
      </c>
      <c r="AA120" t="s">
        <v>1363</v>
      </c>
      <c r="AB120" s="2">
        <v>42067.527662037035</v>
      </c>
      <c r="AC120" t="s">
        <v>108</v>
      </c>
      <c r="AD120" t="s">
        <v>193</v>
      </c>
      <c r="AE120">
        <v>2280</v>
      </c>
      <c r="AF120" t="s">
        <v>78</v>
      </c>
      <c r="AG120" s="1">
        <v>0.98740000000000006</v>
      </c>
      <c r="AH120" t="s">
        <v>79</v>
      </c>
      <c r="AI120" t="s">
        <v>80</v>
      </c>
      <c r="AK120" s="3">
        <v>42245</v>
      </c>
      <c r="AL120" s="4">
        <v>0.9375</v>
      </c>
      <c r="AM120" t="s">
        <v>1364</v>
      </c>
      <c r="AN120" t="s">
        <v>161</v>
      </c>
      <c r="AO120">
        <f t="shared" si="1"/>
        <v>22</v>
      </c>
      <c r="AP120" t="s">
        <v>1365</v>
      </c>
    </row>
    <row r="121" spans="1:42" x14ac:dyDescent="0.25">
      <c r="A121">
        <v>120</v>
      </c>
      <c r="B121" t="s">
        <v>1369</v>
      </c>
      <c r="C121" t="s">
        <v>1370</v>
      </c>
      <c r="E121">
        <v>336</v>
      </c>
      <c r="F121" s="1">
        <v>0.46500000000000002</v>
      </c>
      <c r="G121">
        <v>156.24</v>
      </c>
      <c r="H121">
        <v>156.24</v>
      </c>
      <c r="I121">
        <v>1095</v>
      </c>
      <c r="J121" t="s">
        <v>72</v>
      </c>
      <c r="K121">
        <v>4125</v>
      </c>
      <c r="L121" s="1">
        <v>4.7999999999999996E-3</v>
      </c>
      <c r="M121">
        <v>4498</v>
      </c>
      <c r="N121" s="1">
        <v>4.0000000000000001E-3</v>
      </c>
      <c r="O121">
        <v>702767.52</v>
      </c>
      <c r="P121" s="1">
        <v>1.2699999999999999E-2</v>
      </c>
      <c r="Q121">
        <v>52904</v>
      </c>
      <c r="R121">
        <v>80798</v>
      </c>
      <c r="S121" s="1">
        <v>0.65480000000000005</v>
      </c>
      <c r="T121">
        <v>0</v>
      </c>
      <c r="U121">
        <v>1612</v>
      </c>
      <c r="Y121" t="s">
        <v>1096</v>
      </c>
      <c r="Z121" t="s">
        <v>74</v>
      </c>
      <c r="AA121" t="s">
        <v>1371</v>
      </c>
      <c r="AB121" s="2">
        <v>40842.497372685182</v>
      </c>
      <c r="AC121" t="s">
        <v>108</v>
      </c>
      <c r="AD121" t="s">
        <v>323</v>
      </c>
      <c r="AE121">
        <v>37696</v>
      </c>
      <c r="AF121" t="s">
        <v>78</v>
      </c>
      <c r="AG121" s="1">
        <v>0.98089999999999999</v>
      </c>
      <c r="AH121" t="s">
        <v>79</v>
      </c>
      <c r="AI121" t="s">
        <v>80</v>
      </c>
      <c r="AK121" s="3">
        <v>42242</v>
      </c>
      <c r="AL121" s="4">
        <v>0.92982638888888891</v>
      </c>
      <c r="AM121" t="s">
        <v>1372</v>
      </c>
      <c r="AN121" t="s">
        <v>135</v>
      </c>
      <c r="AO121">
        <f t="shared" si="1"/>
        <v>22</v>
      </c>
      <c r="AP121" t="s">
        <v>1373</v>
      </c>
    </row>
    <row r="122" spans="1:42" x14ac:dyDescent="0.25">
      <c r="A122">
        <v>121</v>
      </c>
      <c r="B122" t="s">
        <v>1378</v>
      </c>
      <c r="C122" t="s">
        <v>1379</v>
      </c>
      <c r="E122">
        <v>90</v>
      </c>
      <c r="F122" s="1">
        <v>0.5</v>
      </c>
      <c r="G122">
        <v>45</v>
      </c>
      <c r="H122">
        <v>45</v>
      </c>
      <c r="I122">
        <v>25098869</v>
      </c>
      <c r="J122" t="s">
        <v>72</v>
      </c>
      <c r="K122">
        <v>4098</v>
      </c>
      <c r="L122" s="1">
        <v>4.7999999999999996E-3</v>
      </c>
      <c r="M122">
        <v>5003</v>
      </c>
      <c r="N122" s="1">
        <v>4.4000000000000003E-3</v>
      </c>
      <c r="O122">
        <v>225135</v>
      </c>
      <c r="P122" s="1">
        <v>4.1000000000000003E-3</v>
      </c>
      <c r="Q122">
        <v>29756</v>
      </c>
      <c r="R122">
        <v>24250</v>
      </c>
      <c r="S122" s="1">
        <v>1.2271000000000001</v>
      </c>
      <c r="T122">
        <v>0</v>
      </c>
      <c r="U122">
        <v>763</v>
      </c>
      <c r="Y122" t="s">
        <v>672</v>
      </c>
      <c r="Z122" t="s">
        <v>175</v>
      </c>
      <c r="AA122" t="s">
        <v>1380</v>
      </c>
      <c r="AB122" s="2">
        <v>41774.808136574073</v>
      </c>
      <c r="AC122" t="s">
        <v>640</v>
      </c>
      <c r="AD122" t="s">
        <v>307</v>
      </c>
      <c r="AE122">
        <v>711</v>
      </c>
      <c r="AF122" t="s">
        <v>78</v>
      </c>
      <c r="AG122" s="1">
        <v>0.98119999999999996</v>
      </c>
      <c r="AH122" t="s">
        <v>79</v>
      </c>
      <c r="AI122" t="s">
        <v>80</v>
      </c>
      <c r="AK122" s="3">
        <v>42245</v>
      </c>
      <c r="AL122" s="4">
        <v>0.43055555555555558</v>
      </c>
      <c r="AM122" t="s">
        <v>1381</v>
      </c>
      <c r="AN122" t="s">
        <v>161</v>
      </c>
      <c r="AO122">
        <f t="shared" si="1"/>
        <v>10</v>
      </c>
      <c r="AP122" t="s">
        <v>1382</v>
      </c>
    </row>
    <row r="123" spans="1:42" x14ac:dyDescent="0.25">
      <c r="A123">
        <v>122</v>
      </c>
      <c r="B123" t="s">
        <v>1386</v>
      </c>
      <c r="C123" t="s">
        <v>1387</v>
      </c>
      <c r="D123" t="s">
        <v>1388</v>
      </c>
      <c r="E123">
        <v>398</v>
      </c>
      <c r="F123" s="1">
        <v>0.2442</v>
      </c>
      <c r="G123">
        <v>97.2</v>
      </c>
      <c r="H123">
        <v>97.2</v>
      </c>
      <c r="I123">
        <v>1098</v>
      </c>
      <c r="J123" t="s">
        <v>72</v>
      </c>
      <c r="K123">
        <v>4066</v>
      </c>
      <c r="L123" s="1">
        <v>4.7000000000000002E-3</v>
      </c>
      <c r="M123">
        <v>4615</v>
      </c>
      <c r="N123" s="1">
        <v>4.1000000000000003E-3</v>
      </c>
      <c r="O123">
        <v>448578</v>
      </c>
      <c r="P123" s="1">
        <v>8.0999999999999996E-3</v>
      </c>
      <c r="Q123">
        <v>38162</v>
      </c>
      <c r="R123">
        <v>117798</v>
      </c>
      <c r="S123" s="1">
        <v>0.32400000000000001</v>
      </c>
      <c r="T123">
        <v>17</v>
      </c>
      <c r="U123">
        <v>5941</v>
      </c>
      <c r="Y123" t="s">
        <v>73</v>
      </c>
      <c r="Z123" t="s">
        <v>74</v>
      </c>
      <c r="AA123" t="s">
        <v>1389</v>
      </c>
      <c r="AB123" s="2">
        <v>41922.833298611113</v>
      </c>
      <c r="AC123" t="s">
        <v>224</v>
      </c>
      <c r="AD123" t="s">
        <v>1390</v>
      </c>
      <c r="AE123">
        <v>168360</v>
      </c>
      <c r="AF123" t="s">
        <v>78</v>
      </c>
      <c r="AG123" s="1">
        <v>0.99609999999999999</v>
      </c>
      <c r="AH123" t="s">
        <v>79</v>
      </c>
      <c r="AI123" t="s">
        <v>80</v>
      </c>
      <c r="AK123" s="3">
        <v>42246</v>
      </c>
      <c r="AL123" s="4">
        <v>0.73675925925925922</v>
      </c>
      <c r="AM123" t="s">
        <v>1391</v>
      </c>
      <c r="AN123" t="s">
        <v>194</v>
      </c>
      <c r="AO123">
        <f t="shared" si="1"/>
        <v>17</v>
      </c>
      <c r="AP123" t="s">
        <v>1392</v>
      </c>
    </row>
    <row r="124" spans="1:42" x14ac:dyDescent="0.25">
      <c r="A124">
        <v>123</v>
      </c>
      <c r="B124" t="s">
        <v>1397</v>
      </c>
      <c r="C124" t="s">
        <v>1398</v>
      </c>
      <c r="D124">
        <v>2426</v>
      </c>
      <c r="E124">
        <v>330</v>
      </c>
      <c r="F124" s="1">
        <v>0.11849999999999999</v>
      </c>
      <c r="G124">
        <v>39.1</v>
      </c>
      <c r="H124">
        <v>39.1</v>
      </c>
      <c r="I124">
        <v>14897</v>
      </c>
      <c r="J124" t="s">
        <v>72</v>
      </c>
      <c r="K124">
        <v>4044</v>
      </c>
      <c r="L124" s="1">
        <v>4.7000000000000002E-3</v>
      </c>
      <c r="M124">
        <v>5124</v>
      </c>
      <c r="N124" s="1">
        <v>4.4999999999999997E-3</v>
      </c>
      <c r="O124">
        <v>200348.4</v>
      </c>
      <c r="P124" s="1">
        <v>3.5999999999999999E-3</v>
      </c>
      <c r="Q124">
        <v>16708</v>
      </c>
      <c r="R124">
        <v>16285</v>
      </c>
      <c r="S124" s="1">
        <v>1.026</v>
      </c>
      <c r="T124">
        <v>0</v>
      </c>
      <c r="U124">
        <v>886</v>
      </c>
      <c r="Y124" t="s">
        <v>596</v>
      </c>
      <c r="Z124" t="s">
        <v>175</v>
      </c>
      <c r="AA124" t="s">
        <v>1399</v>
      </c>
      <c r="AB124" s="2">
        <v>41921.098182870373</v>
      </c>
      <c r="AC124" t="s">
        <v>640</v>
      </c>
      <c r="AD124" t="s">
        <v>109</v>
      </c>
      <c r="AE124">
        <v>5538</v>
      </c>
      <c r="AF124" t="s">
        <v>78</v>
      </c>
      <c r="AG124" s="1">
        <v>0.95320000000000005</v>
      </c>
      <c r="AH124" t="s">
        <v>79</v>
      </c>
      <c r="AI124" t="s">
        <v>80</v>
      </c>
      <c r="AK124" s="3">
        <v>42243</v>
      </c>
      <c r="AL124" s="4">
        <v>0.6604282407407408</v>
      </c>
      <c r="AM124" t="s">
        <v>1400</v>
      </c>
      <c r="AN124" t="s">
        <v>179</v>
      </c>
      <c r="AO124">
        <f t="shared" si="1"/>
        <v>15</v>
      </c>
      <c r="AP124" t="s">
        <v>1401</v>
      </c>
    </row>
    <row r="125" spans="1:42" x14ac:dyDescent="0.25">
      <c r="A125">
        <v>124</v>
      </c>
      <c r="B125" t="s">
        <v>1405</v>
      </c>
      <c r="C125" t="s">
        <v>1406</v>
      </c>
      <c r="E125">
        <v>74</v>
      </c>
      <c r="F125" s="1">
        <v>0.41889999999999999</v>
      </c>
      <c r="G125">
        <v>31</v>
      </c>
      <c r="H125">
        <v>31</v>
      </c>
      <c r="I125">
        <v>236273</v>
      </c>
      <c r="J125" t="s">
        <v>72</v>
      </c>
      <c r="K125">
        <v>4041</v>
      </c>
      <c r="L125" s="1">
        <v>4.7000000000000002E-3</v>
      </c>
      <c r="M125">
        <v>4739</v>
      </c>
      <c r="N125" s="1">
        <v>4.1999999999999997E-3</v>
      </c>
      <c r="O125">
        <v>146909</v>
      </c>
      <c r="P125" s="1">
        <v>2.7000000000000001E-3</v>
      </c>
      <c r="Q125">
        <v>9112</v>
      </c>
      <c r="R125">
        <v>13330</v>
      </c>
      <c r="S125" s="1">
        <v>0.68359999999999999</v>
      </c>
      <c r="T125">
        <v>1</v>
      </c>
      <c r="U125">
        <v>1140</v>
      </c>
      <c r="Y125" t="s">
        <v>189</v>
      </c>
      <c r="Z125" t="s">
        <v>175</v>
      </c>
      <c r="AA125" t="s">
        <v>1407</v>
      </c>
      <c r="AB125" s="2">
        <v>41737.557500000003</v>
      </c>
      <c r="AC125" t="s">
        <v>224</v>
      </c>
      <c r="AD125" t="s">
        <v>307</v>
      </c>
      <c r="AE125">
        <v>7010</v>
      </c>
      <c r="AF125" t="s">
        <v>78</v>
      </c>
      <c r="AG125" s="1">
        <v>0.9839</v>
      </c>
      <c r="AH125" t="s">
        <v>79</v>
      </c>
      <c r="AI125" t="s">
        <v>80</v>
      </c>
      <c r="AK125" s="3">
        <v>42246</v>
      </c>
      <c r="AL125" s="4">
        <v>0.68508101851851855</v>
      </c>
      <c r="AM125" t="s">
        <v>1408</v>
      </c>
      <c r="AN125" t="s">
        <v>194</v>
      </c>
      <c r="AO125">
        <f t="shared" si="1"/>
        <v>16</v>
      </c>
      <c r="AP125" t="s">
        <v>1409</v>
      </c>
    </row>
  </sheetData>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S12"/>
  <sheetViews>
    <sheetView showGridLines="0" workbookViewId="0">
      <selection activeCell="E10" sqref="E10"/>
    </sheetView>
  </sheetViews>
  <sheetFormatPr defaultRowHeight="14" x14ac:dyDescent="0.25"/>
  <cols>
    <col min="2" max="2" width="17.90625" bestFit="1" customWidth="1"/>
    <col min="3" max="3" width="9.7265625" bestFit="1" customWidth="1"/>
    <col min="4" max="4" width="6.26953125" customWidth="1"/>
    <col min="5" max="7" width="7.36328125" customWidth="1"/>
    <col min="8" max="8" width="6.26953125" customWidth="1"/>
    <col min="9" max="9" width="7.36328125" customWidth="1"/>
    <col min="10" max="10" width="8.453125" customWidth="1"/>
    <col min="11" max="13" width="7.36328125" customWidth="1"/>
    <col min="14" max="14" width="6.26953125" customWidth="1"/>
    <col min="15" max="15" width="7.36328125" customWidth="1"/>
    <col min="16" max="17" width="8.453125" customWidth="1"/>
    <col min="18" max="18" width="7.36328125" customWidth="1"/>
    <col min="19" max="19" width="9.6328125" customWidth="1"/>
  </cols>
  <sheetData>
    <row r="3" spans="2:19" x14ac:dyDescent="0.25">
      <c r="B3" s="7" t="s">
        <v>1422</v>
      </c>
      <c r="C3" s="7" t="s">
        <v>1421</v>
      </c>
    </row>
    <row r="4" spans="2:19" x14ac:dyDescent="0.25">
      <c r="B4" s="7" t="s">
        <v>1419</v>
      </c>
      <c r="C4">
        <v>0</v>
      </c>
      <c r="D4">
        <v>2</v>
      </c>
      <c r="E4">
        <v>9</v>
      </c>
      <c r="F4">
        <v>10</v>
      </c>
      <c r="G4">
        <v>11</v>
      </c>
      <c r="H4">
        <v>13</v>
      </c>
      <c r="I4">
        <v>14</v>
      </c>
      <c r="J4">
        <v>15</v>
      </c>
      <c r="K4">
        <v>16</v>
      </c>
      <c r="L4">
        <v>17</v>
      </c>
      <c r="M4">
        <v>18</v>
      </c>
      <c r="N4">
        <v>19</v>
      </c>
      <c r="O4">
        <v>20</v>
      </c>
      <c r="P4">
        <v>21</v>
      </c>
      <c r="Q4">
        <v>22</v>
      </c>
      <c r="R4">
        <v>23</v>
      </c>
      <c r="S4" t="s">
        <v>1420</v>
      </c>
    </row>
    <row r="5" spans="2:19" x14ac:dyDescent="0.25">
      <c r="B5" s="8" t="s">
        <v>82</v>
      </c>
      <c r="E5">
        <v>6303</v>
      </c>
      <c r="F5">
        <v>15639</v>
      </c>
      <c r="I5">
        <v>6731</v>
      </c>
      <c r="J5">
        <v>18282</v>
      </c>
      <c r="P5">
        <v>23642</v>
      </c>
      <c r="Q5">
        <v>74555</v>
      </c>
      <c r="R5">
        <v>4876</v>
      </c>
      <c r="S5">
        <v>150028</v>
      </c>
    </row>
    <row r="6" spans="2:19" x14ac:dyDescent="0.25">
      <c r="B6" s="8" t="s">
        <v>251</v>
      </c>
      <c r="D6">
        <v>8198</v>
      </c>
      <c r="F6">
        <v>12541</v>
      </c>
      <c r="K6">
        <v>19386</v>
      </c>
      <c r="M6">
        <v>8631</v>
      </c>
      <c r="O6">
        <v>10091</v>
      </c>
      <c r="P6">
        <v>45339</v>
      </c>
      <c r="Q6">
        <v>32567</v>
      </c>
      <c r="S6">
        <v>136753</v>
      </c>
    </row>
    <row r="7" spans="2:19" x14ac:dyDescent="0.25">
      <c r="B7" s="8" t="s">
        <v>135</v>
      </c>
      <c r="F7">
        <v>20950</v>
      </c>
      <c r="L7">
        <v>13899</v>
      </c>
      <c r="M7">
        <v>6659</v>
      </c>
      <c r="O7">
        <v>25206</v>
      </c>
      <c r="P7">
        <v>62736</v>
      </c>
      <c r="Q7">
        <v>18638</v>
      </c>
      <c r="R7">
        <v>12223</v>
      </c>
      <c r="S7">
        <v>160311</v>
      </c>
    </row>
    <row r="8" spans="2:19" x14ac:dyDescent="0.25">
      <c r="B8" s="8" t="s">
        <v>179</v>
      </c>
      <c r="F8">
        <v>17357</v>
      </c>
      <c r="G8">
        <v>19986</v>
      </c>
      <c r="J8">
        <v>5124</v>
      </c>
      <c r="K8">
        <v>5095</v>
      </c>
      <c r="L8">
        <v>6958</v>
      </c>
      <c r="O8">
        <v>4965</v>
      </c>
      <c r="P8">
        <v>25152</v>
      </c>
      <c r="Q8">
        <v>11277</v>
      </c>
      <c r="R8">
        <v>18265</v>
      </c>
      <c r="S8">
        <v>114179</v>
      </c>
    </row>
    <row r="9" spans="2:19" x14ac:dyDescent="0.25">
      <c r="B9" s="8" t="s">
        <v>111</v>
      </c>
      <c r="C9">
        <v>9502</v>
      </c>
      <c r="E9">
        <v>4802</v>
      </c>
      <c r="G9">
        <v>8261</v>
      </c>
      <c r="I9">
        <v>34178</v>
      </c>
      <c r="J9">
        <v>49131</v>
      </c>
      <c r="K9">
        <v>20613</v>
      </c>
      <c r="O9">
        <v>32242</v>
      </c>
      <c r="P9">
        <v>24039</v>
      </c>
      <c r="Q9">
        <v>18644</v>
      </c>
      <c r="S9">
        <v>201412</v>
      </c>
    </row>
    <row r="10" spans="2:19" x14ac:dyDescent="0.25">
      <c r="B10" s="8" t="s">
        <v>161</v>
      </c>
      <c r="F10">
        <v>27728</v>
      </c>
      <c r="G10">
        <v>6891</v>
      </c>
      <c r="J10">
        <v>22500</v>
      </c>
      <c r="K10">
        <v>5520</v>
      </c>
      <c r="P10">
        <v>45367</v>
      </c>
      <c r="Q10">
        <v>29506</v>
      </c>
      <c r="R10">
        <v>8388</v>
      </c>
      <c r="S10">
        <v>145900</v>
      </c>
    </row>
    <row r="11" spans="2:19" x14ac:dyDescent="0.25">
      <c r="B11" s="8" t="s">
        <v>194</v>
      </c>
      <c r="C11">
        <v>3749</v>
      </c>
      <c r="G11">
        <v>6281</v>
      </c>
      <c r="H11">
        <v>6232</v>
      </c>
      <c r="I11">
        <v>7755</v>
      </c>
      <c r="J11">
        <v>6260</v>
      </c>
      <c r="K11">
        <v>10500</v>
      </c>
      <c r="L11">
        <v>4615</v>
      </c>
      <c r="M11">
        <v>4404</v>
      </c>
      <c r="N11">
        <v>8671</v>
      </c>
      <c r="O11">
        <v>20366</v>
      </c>
      <c r="P11">
        <v>95346</v>
      </c>
      <c r="Q11">
        <v>19772</v>
      </c>
      <c r="R11">
        <v>31337</v>
      </c>
      <c r="S11">
        <v>225288</v>
      </c>
    </row>
    <row r="12" spans="2:19" x14ac:dyDescent="0.25">
      <c r="B12" s="8" t="s">
        <v>1420</v>
      </c>
      <c r="C12">
        <v>13251</v>
      </c>
      <c r="D12">
        <v>8198</v>
      </c>
      <c r="E12">
        <v>11105</v>
      </c>
      <c r="F12">
        <v>94215</v>
      </c>
      <c r="G12">
        <v>41419</v>
      </c>
      <c r="H12">
        <v>6232</v>
      </c>
      <c r="I12">
        <v>48664</v>
      </c>
      <c r="J12">
        <v>101297</v>
      </c>
      <c r="K12">
        <v>61114</v>
      </c>
      <c r="L12">
        <v>25472</v>
      </c>
      <c r="M12">
        <v>19694</v>
      </c>
      <c r="N12">
        <v>8671</v>
      </c>
      <c r="O12">
        <v>92870</v>
      </c>
      <c r="P12">
        <v>321621</v>
      </c>
      <c r="Q12">
        <v>204959</v>
      </c>
      <c r="R12">
        <v>75089</v>
      </c>
      <c r="S12">
        <v>1133871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Sheet1</vt:lpstr>
      <vt:lpstr>Sheet2</vt:lpstr>
      <vt:lpstr>Sheet4</vt:lpstr>
      <vt:lpstr>源数据</vt:lpstr>
      <vt:lpstr>Sheet3</vt:lpstr>
      <vt:lpstr>处理后的数据</vt:lpstr>
      <vt:lpstr>数据透视表</vt:lpstr>
    </vt:vector>
  </TitlesOfParts>
  <Company>Sky123.Org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零一</dc:creator>
  <cp:lastModifiedBy>Xinlan Pang</cp:lastModifiedBy>
  <dcterms:created xsi:type="dcterms:W3CDTF">2015-08-23T10:12:26Z</dcterms:created>
  <dcterms:modified xsi:type="dcterms:W3CDTF">2026-05-05T12:41:43Z</dcterms:modified>
</cp:coreProperties>
</file>